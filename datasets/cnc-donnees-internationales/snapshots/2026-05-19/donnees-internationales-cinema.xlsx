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e\BO\ETUDOC\SITE INTERNET CNC\International\"/>
    </mc:Choice>
  </mc:AlternateContent>
  <xr:revisionPtr revIDLastSave="0" documentId="13_ncr:1_{F25B7C56-D76B-4767-ADB8-D8BF0B517A9B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Sommaire" sheetId="12" r:id="rId1"/>
    <sheet name="Définitions" sheetId="13" r:id="rId2"/>
    <sheet name="U.E." sheetId="4" r:id="rId3"/>
    <sheet name="Allemagne" sheetId="5" r:id="rId4"/>
    <sheet name="Espagne" sheetId="6" r:id="rId5"/>
    <sheet name="Italie" sheetId="7" r:id="rId6"/>
    <sheet name="Royaume-Uni" sheetId="8" r:id="rId7"/>
    <sheet name="Russie" sheetId="15" r:id="rId8"/>
    <sheet name="Etats-Unis" sheetId="10" r:id="rId9"/>
    <sheet name="Mexique" sheetId="9" r:id="rId10"/>
    <sheet name="Japon" sheetId="11" r:id="rId11"/>
    <sheet name="Chine" sheetId="16" r:id="rId12"/>
    <sheet name="ESRI_MAPINFO_SHEET" sheetId="17" state="veryHidden" r:id="rId13"/>
  </sheets>
  <definedNames>
    <definedName name="_xlnm.Print_Titles" localSheetId="3">Allemagne!$A:$A</definedName>
    <definedName name="_xlnm.Print_Titles" localSheetId="11">Chine!$A:$A</definedName>
    <definedName name="_xlnm.Print_Titles" localSheetId="4">Espagne!$A:$A</definedName>
    <definedName name="_xlnm.Print_Titles" localSheetId="8">'Etats-Unis'!$A:$A</definedName>
    <definedName name="_xlnm.Print_Titles" localSheetId="5">Italie!$A:$A</definedName>
    <definedName name="_xlnm.Print_Titles" localSheetId="10">Japon!$A:$A</definedName>
    <definedName name="_xlnm.Print_Titles" localSheetId="9">Mexique!$A:$A</definedName>
    <definedName name="_xlnm.Print_Titles" localSheetId="6">'Royaume-Uni'!$A:$A</definedName>
    <definedName name="_xlnm.Print_Titles" localSheetId="7">Russie!$A:$A</definedName>
    <definedName name="_xlnm.Print_Area" localSheetId="3">Allemagne!$A$5:$Q$20</definedName>
    <definedName name="_xlnm.Print_Area" localSheetId="11">Chine!$A$5:$B$21</definedName>
    <definedName name="_xlnm.Print_Area" localSheetId="1">Définitions!$A$5:$L$28</definedName>
    <definedName name="_xlnm.Print_Area" localSheetId="4">Espagne!$A$5:$G$20</definedName>
    <definedName name="_xlnm.Print_Area" localSheetId="8">'Etats-Unis'!$A$5:$G$17</definedName>
    <definedName name="_xlnm.Print_Area" localSheetId="5">Italie!$A$5:$G$19</definedName>
    <definedName name="_xlnm.Print_Area" localSheetId="10">Japon!$A$5:$F$20</definedName>
    <definedName name="_xlnm.Print_Area" localSheetId="9">Mexique!$A$5:$F$20</definedName>
    <definedName name="_xlnm.Print_Area" localSheetId="6">'Royaume-Uni'!$A$5:$G$20</definedName>
    <definedName name="_xlnm.Print_Area" localSheetId="7">Russie!$A$5:$G$18</definedName>
    <definedName name="_xlnm.Print_Area" localSheetId="2">'U.E.'!$A$5:$G$33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8" i="4" l="1"/>
  <c r="E28" i="4" s="1"/>
</calcChain>
</file>

<file path=xl/sharedStrings.xml><?xml version="1.0" encoding="utf-8"?>
<sst xmlns="http://schemas.openxmlformats.org/spreadsheetml/2006/main" count="257" uniqueCount="131">
  <si>
    <t>entrées (millions)</t>
  </si>
  <si>
    <t>indice de fréquentation</t>
  </si>
  <si>
    <t>recettes (M€)</t>
  </si>
  <si>
    <t>Le cinéma dans l'Union Européenne</t>
  </si>
  <si>
    <t>Le cinéma en Allemagne</t>
  </si>
  <si>
    <t>écrans</t>
  </si>
  <si>
    <t>Le cinéma en Espagne</t>
  </si>
  <si>
    <t>Le cinéma en Italie</t>
  </si>
  <si>
    <t>Le cinéma au Royaume-Uni</t>
  </si>
  <si>
    <t xml:space="preserve">entrées (millions) </t>
  </si>
  <si>
    <t>recettes (M£)</t>
  </si>
  <si>
    <t>Le cinéma aux Etats-Unis</t>
  </si>
  <si>
    <t xml:space="preserve">écrans </t>
  </si>
  <si>
    <t>Le cinéma au Japon</t>
  </si>
  <si>
    <t>DONNEES INTERNATIONALES</t>
  </si>
  <si>
    <t>Définitions et sources</t>
  </si>
  <si>
    <t>EUROPE</t>
  </si>
  <si>
    <t>AUTOUR DU MONDE</t>
  </si>
  <si>
    <t>Retour au menu "Données internationales"</t>
  </si>
  <si>
    <t>Définitions</t>
  </si>
  <si>
    <t>Sources</t>
  </si>
  <si>
    <t>Publications</t>
  </si>
  <si>
    <t>-</t>
  </si>
  <si>
    <r>
      <t>écrans</t>
    </r>
    <r>
      <rPr>
        <b/>
        <vertAlign val="superscript"/>
        <sz val="9"/>
        <rFont val="Arial"/>
        <family val="2"/>
      </rPr>
      <t>2</t>
    </r>
  </si>
  <si>
    <r>
      <t>part du film européen (%)</t>
    </r>
    <r>
      <rPr>
        <vertAlign val="superscript"/>
        <sz val="9"/>
        <rFont val="Arial"/>
        <family val="2"/>
      </rPr>
      <t>2</t>
    </r>
  </si>
  <si>
    <r>
      <t>longs métrages produits</t>
    </r>
    <r>
      <rPr>
        <vertAlign val="superscript"/>
        <sz val="9"/>
        <rFont val="Arial"/>
        <family val="2"/>
      </rPr>
      <t>1</t>
    </r>
  </si>
  <si>
    <r>
      <t>part du film national (%)</t>
    </r>
    <r>
      <rPr>
        <vertAlign val="superscript"/>
        <sz val="9"/>
        <rFont val="Arial"/>
        <family val="2"/>
      </rPr>
      <t>2</t>
    </r>
  </si>
  <si>
    <t>nd</t>
  </si>
  <si>
    <r>
      <t>Le cinéma dans l'Union Européenne</t>
    </r>
    <r>
      <rPr>
        <b/>
        <vertAlign val="superscript"/>
        <sz val="10"/>
        <rFont val="Arial"/>
        <family val="2"/>
      </rPr>
      <t>1</t>
    </r>
  </si>
  <si>
    <r>
      <t>1</t>
    </r>
    <r>
      <rPr>
        <sz val="8"/>
        <rFont val="Arial"/>
        <family val="2"/>
      </rPr>
      <t xml:space="preserve"> Estimations.</t>
    </r>
  </si>
  <si>
    <r>
      <t>longs métrages produits</t>
    </r>
    <r>
      <rPr>
        <b/>
        <vertAlign val="superscript"/>
        <sz val="9"/>
        <rFont val="Arial"/>
        <family val="2"/>
      </rPr>
      <t>2,3</t>
    </r>
  </si>
  <si>
    <r>
      <t>entrées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(millions)</t>
    </r>
  </si>
  <si>
    <r>
      <t>part du film européen (%)</t>
    </r>
    <r>
      <rPr>
        <b/>
        <vertAlign val="superscript"/>
        <sz val="9"/>
        <rFont val="Arial"/>
        <family val="2"/>
      </rPr>
      <t>4,5</t>
    </r>
  </si>
  <si>
    <r>
      <t>part du film américain (%)</t>
    </r>
    <r>
      <rPr>
        <b/>
        <vertAlign val="superscript"/>
        <sz val="9"/>
        <rFont val="Arial"/>
        <family val="2"/>
      </rPr>
      <t>5</t>
    </r>
  </si>
  <si>
    <t>Source : CNC d'après l’Observatoire Européen de l'Audiovisuel (OEA).</t>
  </si>
  <si>
    <r>
      <t>indice de fréquentation</t>
    </r>
    <r>
      <rPr>
        <b/>
        <vertAlign val="superscript"/>
        <sz val="9"/>
        <rFont val="Arial"/>
        <family val="2"/>
      </rPr>
      <t>2</t>
    </r>
  </si>
  <si>
    <r>
      <t>part du film américain (%)</t>
    </r>
    <r>
      <rPr>
        <vertAlign val="superscript"/>
        <sz val="9"/>
        <rFont val="Arial"/>
        <family val="2"/>
      </rPr>
      <t>2</t>
    </r>
  </si>
  <si>
    <r>
      <t>part du film français (%)</t>
    </r>
    <r>
      <rPr>
        <vertAlign val="superscript"/>
        <sz val="9"/>
        <rFont val="Arial"/>
        <family val="2"/>
      </rPr>
      <t>2</t>
    </r>
  </si>
  <si>
    <t>1 033,0</t>
  </si>
  <si>
    <t>1 023,0</t>
  </si>
  <si>
    <r>
      <t>indice de fréquentation</t>
    </r>
    <r>
      <rPr>
        <vertAlign val="superscript"/>
        <sz val="9"/>
        <rFont val="Arial"/>
        <family val="2"/>
      </rPr>
      <t>2</t>
    </r>
  </si>
  <si>
    <r>
      <t>part du film américain (%)</t>
    </r>
    <r>
      <rPr>
        <vertAlign val="superscript"/>
        <sz val="9"/>
        <rFont val="Arial"/>
        <family val="2"/>
      </rPr>
      <t>3</t>
    </r>
  </si>
  <si>
    <r>
      <t>part du film européen (%)</t>
    </r>
    <r>
      <rPr>
        <vertAlign val="superscript"/>
        <sz val="9"/>
        <rFont val="Arial"/>
        <family val="2"/>
      </rPr>
      <t>3</t>
    </r>
  </si>
  <si>
    <r>
      <t>part du film français (%)</t>
    </r>
    <r>
      <rPr>
        <vertAlign val="superscript"/>
        <sz val="9"/>
        <rFont val="Arial"/>
        <family val="2"/>
      </rPr>
      <t>3</t>
    </r>
  </si>
  <si>
    <t>4 003</t>
  </si>
  <si>
    <t>1 040,0</t>
  </si>
  <si>
    <t>1 099,0</t>
  </si>
  <si>
    <t>1 083,0</t>
  </si>
  <si>
    <t>Le cinéma en Russie</t>
  </si>
  <si>
    <t>recettes (M$)</t>
  </si>
  <si>
    <r>
      <t xml:space="preserve">2 </t>
    </r>
    <r>
      <rPr>
        <sz val="8"/>
        <rFont val="Arial"/>
        <family val="2"/>
      </rPr>
      <t>En termes d'entrées.</t>
    </r>
  </si>
  <si>
    <t>longs métrages produits¹</t>
  </si>
  <si>
    <r>
      <t>3</t>
    </r>
    <r>
      <rPr>
        <sz val="8"/>
        <rFont val="Arial"/>
        <family val="2"/>
      </rPr>
      <t xml:space="preserve"> En termes d'entrées.</t>
    </r>
  </si>
  <si>
    <t>Le cinéma au Mexique</t>
  </si>
  <si>
    <t>¹ Films nationaux à 100 %.</t>
  </si>
  <si>
    <t>films distribués</t>
  </si>
  <si>
    <t>1 167,1</t>
  </si>
  <si>
    <t>1 056,1</t>
  </si>
  <si>
    <t>Source : CNC d'après Filmförderungsanstalt (FFA), Spitzenorganisation der Filmwirtschaft (SPIO), Unifrance.</t>
  </si>
  <si>
    <t>prix moyen de la place ($)</t>
  </si>
  <si>
    <t>1 200</t>
  </si>
  <si>
    <t>¹ Films nationaux à 100 %. Données révisées à partir de 2011. Depuis 2015 : nombre de films russes distribués.</t>
  </si>
  <si>
    <t>Source : CNC d'après Neva Film, Observatoire Européen de l'Audiovisuel (OEA).</t>
  </si>
  <si>
    <r>
      <t xml:space="preserve">5 </t>
    </r>
    <r>
      <rPr>
        <sz val="8"/>
        <rFont val="Arial"/>
        <family val="2"/>
      </rPr>
      <t>Moyenne des données disponibles dans 22 pays européens. Depuis 2013 : 28 pays européens.</t>
    </r>
  </si>
  <si>
    <t>recettes (Md$)</t>
  </si>
  <si>
    <t>1 063,3</t>
  </si>
  <si>
    <t>1 242,1</t>
  </si>
  <si>
    <t>1 228,1</t>
  </si>
  <si>
    <t>1 279,4</t>
  </si>
  <si>
    <t>1 282,1</t>
  </si>
  <si>
    <t>Le cinéma en Chine</t>
  </si>
  <si>
    <t>1 260</t>
  </si>
  <si>
    <t>1 370</t>
  </si>
  <si>
    <r>
      <t>part du film national (%)</t>
    </r>
    <r>
      <rPr>
        <vertAlign val="superscript"/>
        <sz val="9"/>
        <rFont val="Arial"/>
        <family val="2"/>
      </rPr>
      <t>3</t>
    </r>
  </si>
  <si>
    <t>Source : CNC d'après IMCINE, Canacine, Unifrance.</t>
  </si>
  <si>
    <t>1 024,0</t>
  </si>
  <si>
    <r>
      <t>part du film français (%)</t>
    </r>
    <r>
      <rPr>
        <vertAlign val="superscript"/>
        <sz val="9"/>
        <rFont val="Arial"/>
        <family val="2"/>
      </rPr>
      <t>4</t>
    </r>
  </si>
  <si>
    <t>1 253,9</t>
  </si>
  <si>
    <t>Source: Motion Picture Producers Association of Japan, Unifrance.</t>
  </si>
  <si>
    <t>Source : CNC d'après China Film Administration, Observatoire Européen de l’Audiovisuel (OEA), Unifrance.</t>
  </si>
  <si>
    <t>Source : CNC d'après ANICA, Cinetel, SIAE, Observatoire européen de l'audiovisuel</t>
  </si>
  <si>
    <r>
      <t>3</t>
    </r>
    <r>
      <rPr>
        <sz val="8"/>
        <rFont val="Arial"/>
        <family val="2"/>
      </rPr>
      <t xml:space="preserve"> Données révisées. Peut inclure des doublons.</t>
    </r>
  </si>
  <si>
    <r>
      <t xml:space="preserve">3 </t>
    </r>
    <r>
      <rPr>
        <sz val="8"/>
        <rFont val="Arial"/>
        <family val="2"/>
      </rPr>
      <t>En termes de recettes. Au Royaume-Uni et en Irlande.</t>
    </r>
  </si>
  <si>
    <t>Source : CNC d' après British Film Institute (BFI), UK Cinema Association, Unifrance.</t>
  </si>
  <si>
    <t>1 150</t>
  </si>
  <si>
    <t xml:space="preserve">Source : CNC d'après Instituto de la Cinematografia y de las Artes Audiovisuales, Observatoire européen de l’audiovisuel.
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</si>
  <si>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Films 100 % nationaux et coproductions majoritaires en première sortie.</t>
    </r>
  </si>
  <si>
    <r>
      <t>4</t>
    </r>
    <r>
      <rPr>
        <sz val="8"/>
        <rFont val="Arial"/>
        <family val="2"/>
      </rPr>
      <t xml:space="preserve"> Entrées des films produits en Europe. Ne sont pas inclus les films britanniques produits principalement au Royaume-Uni à l'aide d'investissements américains.</t>
    </r>
  </si>
  <si>
    <r>
      <t>3</t>
    </r>
    <r>
      <rPr>
        <sz val="8"/>
        <rFont val="Arial"/>
        <family val="2"/>
      </rPr>
      <t xml:space="preserve"> En terme d'entrées.</t>
    </r>
  </si>
  <si>
    <r>
      <t>part du film national (%)</t>
    </r>
    <r>
      <rPr>
        <vertAlign val="superscript"/>
        <sz val="8"/>
        <rFont val="Arial"/>
        <family val="2"/>
      </rPr>
      <t>3</t>
    </r>
  </si>
  <si>
    <r>
      <t>part du film américain (%)</t>
    </r>
    <r>
      <rPr>
        <vertAlign val="superscript"/>
        <sz val="8"/>
        <rFont val="Arial"/>
        <family val="2"/>
      </rPr>
      <t>3</t>
    </r>
  </si>
  <si>
    <r>
      <t>part du film européen (%)</t>
    </r>
    <r>
      <rPr>
        <vertAlign val="superscript"/>
        <sz val="8"/>
        <rFont val="Arial"/>
        <family val="2"/>
      </rPr>
      <t>3</t>
    </r>
  </si>
  <si>
    <r>
      <t>part du film français (%)</t>
    </r>
    <r>
      <rPr>
        <vertAlign val="superscript"/>
        <sz val="8"/>
        <rFont val="Arial"/>
        <family val="2"/>
      </rPr>
      <t>3</t>
    </r>
  </si>
  <si>
    <r>
      <t>2</t>
    </r>
    <r>
      <rPr>
        <sz val="8"/>
        <rFont val="Arial"/>
        <family val="2"/>
      </rPr>
      <t xml:space="preserve"> Europe des 27 Etats membres + le Royaume-Uni. </t>
    </r>
  </si>
  <si>
    <r>
      <t>2</t>
    </r>
    <r>
      <rPr>
        <sz val="8"/>
        <rFont val="Arial"/>
        <family val="2"/>
      </rPr>
      <t xml:space="preserve"> L’indice de fréquentation est le rapport entre le nombre d’entrées et la population d’une zone géographique donnée.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</si>
  <si>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En termes d’entrées.</t>
    </r>
  </si>
  <si>
    <r>
      <t>1</t>
    </r>
    <r>
      <rPr>
        <sz val="8"/>
        <rFont val="Arial"/>
        <family val="2"/>
      </rPr>
      <t xml:space="preserve"> Films 100 % nationaux et coproductions majoritaires.</t>
    </r>
  </si>
  <si>
    <r>
      <t>1</t>
    </r>
    <r>
      <rPr>
        <sz val="8"/>
        <rFont val="Arial"/>
        <family val="2"/>
      </rPr>
      <t xml:space="preserve"> Films 100 % nationaux et coproductions majoritaires ayant bénéficié d’un soutien public.</t>
    </r>
  </si>
  <si>
    <r>
      <t>2</t>
    </r>
    <r>
      <rPr>
        <sz val="8"/>
        <rFont val="Arial"/>
        <family val="2"/>
      </rPr>
      <t xml:space="preserve"> L’indice de fréquentation est le rapport entre le nombre d’entrées et la population d’une zone géographique donnée</t>
    </r>
    <r>
      <rPr>
        <vertAlign val="superscript"/>
        <sz val="8"/>
        <rFont val="Arial"/>
        <family val="2"/>
      </rPr>
      <t>.</t>
    </r>
  </si>
  <si>
    <r>
      <t>part du film national (%)</t>
    </r>
    <r>
      <rPr>
        <vertAlign val="superscript"/>
        <sz val="9"/>
        <rFont val="Arial"/>
        <family val="2"/>
      </rPr>
      <t>3,4</t>
    </r>
  </si>
  <si>
    <r>
      <t>part du film français (%)</t>
    </r>
    <r>
      <rPr>
        <vertAlign val="superscript"/>
        <sz val="9"/>
        <rFont val="Arial"/>
        <family val="2"/>
      </rPr>
      <t>5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</si>
  <si>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Films 100% britanniques et coproductions majoritaires. Chiffre 2022 provisoire.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</si>
  <si>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Films britanniques indépendants uniquement. N’inclut pas les films produits avec des investissements américains.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</si>
  <si>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En termes d’entrées, au Royaume-Uni et en Irlande.</t>
    </r>
  </si>
  <si>
    <t>¹ Nombre de films entrés en production durant l’année, incluant les films financés par les services de vidéo à la demande par abonnement (VàDA).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</si>
  <si>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L’indice de fréquentation est le rapport entre le nombre d’entrées et la population d’une zone géographique donnée.</t>
    </r>
  </si>
  <si>
    <r>
      <t>3</t>
    </r>
    <r>
      <rPr>
        <sz val="8"/>
        <rFont val="Arial"/>
        <family val="2"/>
      </rPr>
      <t xml:space="preserve"> Etats-Unis + Canada.</t>
    </r>
  </si>
  <si>
    <r>
      <t xml:space="preserve">4 </t>
    </r>
    <r>
      <rPr>
        <sz val="8"/>
        <rFont val="Arial"/>
        <family val="2"/>
      </rPr>
      <t>En termes d’entrées.</t>
    </r>
  </si>
  <si>
    <t>Source: CNC d’après Motion Picture Association of America, Gower Street Analytics, National Association of Theatre Owners, The Numbers, Unifrance.</t>
  </si>
  <si>
    <r>
      <t xml:space="preserve">3 </t>
    </r>
    <r>
      <rPr>
        <sz val="8"/>
        <rFont val="Arial"/>
        <family val="2"/>
      </rPr>
      <t>En termes d'entrées.</t>
    </r>
  </si>
  <si>
    <r>
      <t>part du film national (%)</t>
    </r>
    <r>
      <rPr>
        <vertAlign val="superscript"/>
        <sz val="9"/>
        <color rgb="FF000000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</si>
  <si>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Films nationaux à 100 %.</t>
    </r>
  </si>
  <si>
    <r>
      <t>part du film américain (%)</t>
    </r>
    <r>
      <rPr>
        <vertAlign val="superscript"/>
        <sz val="9"/>
        <color rgb="FF000000"/>
        <rFont val="Arial"/>
        <family val="2"/>
      </rPr>
      <t>3</t>
    </r>
  </si>
  <si>
    <r>
      <t>part du film européen (%)</t>
    </r>
    <r>
      <rPr>
        <vertAlign val="superscript"/>
        <sz val="9"/>
        <color rgb="FF000000"/>
        <rFont val="Arial"/>
        <family val="2"/>
      </rPr>
      <t>3</t>
    </r>
  </si>
  <si>
    <r>
      <t>indice de fréquentation</t>
    </r>
    <r>
      <rPr>
        <vertAlign val="superscript"/>
        <sz val="9"/>
        <color rgb="FF000000"/>
        <rFont val="Arial"/>
        <family val="2"/>
      </rPr>
      <t>2</t>
    </r>
  </si>
  <si>
    <r>
      <t>longs métrages produits</t>
    </r>
    <r>
      <rPr>
        <vertAlign val="superscript"/>
        <sz val="9"/>
        <color rgb="FF000000"/>
        <rFont val="Arial"/>
        <family val="2"/>
      </rPr>
      <t>1</t>
    </r>
  </si>
  <si>
    <r>
      <t>entrées (millions)</t>
    </r>
    <r>
      <rPr>
        <vertAlign val="superscript"/>
        <sz val="9"/>
        <rFont val="Arial"/>
        <family val="2"/>
      </rPr>
      <t>3</t>
    </r>
  </si>
  <si>
    <r>
      <t>indice de fréquentation</t>
    </r>
    <r>
      <rPr>
        <vertAlign val="superscript"/>
        <sz val="9"/>
        <rFont val="Arial"/>
        <family val="2"/>
      </rPr>
      <t>2,3</t>
    </r>
  </si>
  <si>
    <r>
      <t>recettes (Md$)</t>
    </r>
    <r>
      <rPr>
        <vertAlign val="superscript"/>
        <sz val="9"/>
        <rFont val="Arial"/>
        <family val="2"/>
      </rPr>
      <t>3</t>
    </r>
  </si>
  <si>
    <r>
      <t>indice de fréquentation</t>
    </r>
    <r>
      <rPr>
        <vertAlign val="superscript"/>
        <sz val="9"/>
        <rFont val="Arial"/>
        <family val="2"/>
      </rPr>
      <t>1</t>
    </r>
  </si>
  <si>
    <t>1 L’indice de fréquentation est le rapport entre le nombre d’entrées et la population d’une zone géographique donnée.</t>
  </si>
  <si>
    <r>
      <t xml:space="preserve">2 </t>
    </r>
    <r>
      <rPr>
        <sz val="8"/>
        <rFont val="Arial"/>
        <family val="2"/>
      </rPr>
      <t>En termes de recettes</t>
    </r>
  </si>
  <si>
    <r>
      <t>3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En termes d’entrées.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</si>
  <si>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L’indice de fréquentation est le rapport entre le nombre d’entrées et la population d’une zone géographique donnée.</t>
    </r>
  </si>
  <si>
    <r>
      <t>3</t>
    </r>
    <r>
      <rPr>
        <vertAlign val="superscript"/>
        <sz val="9"/>
        <rFont val="Arial"/>
        <family val="2"/>
      </rPr>
      <t xml:space="preserve"> </t>
    </r>
    <r>
      <rPr>
        <sz val="8"/>
        <rFont val="Arial"/>
        <family val="2"/>
      </rPr>
      <t>En termes de recettes.</t>
    </r>
  </si>
  <si>
    <r>
      <t>4</t>
    </r>
    <r>
      <rPr>
        <sz val="8"/>
        <rFont val="Arial"/>
        <family val="2"/>
      </rPr>
      <t xml:space="preserve"> En termes d'entrées.</t>
    </r>
  </si>
  <si>
    <t>62,8*</t>
  </si>
  <si>
    <t>32,8*</t>
  </si>
  <si>
    <t>*Part calculée à partir des 39 pays européens couverts par l'analyse de l'OEA</t>
  </si>
  <si>
    <t>36719*</t>
  </si>
  <si>
    <t>Mis à jour le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</si>
</sst>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\ &quot;F&quot;;[Red]\-#,##0\ &quot;F&quot;"/>
    <numFmt numFmtId="165" formatCode="0.0"/>
    <numFmt numFmtId="166" formatCode="#,##0.0"/>
    <numFmt numFmtId="167" formatCode="_-* #,##0_-;\-* #,##0_-;_-* &quot;-&quot;??_-;_-@_-"/>
  </numFmts>
  <fonts count="43" x14ac:knownFonts="1">
    <font>
      <sz val="10"/>
      <name val="MS Sans Serif"/>
    </font>
    <font>
      <sz val="10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u/>
      <sz val="10"/>
      <color indexed="12"/>
      <name val="MS Sans Serif"/>
      <family val="2"/>
    </font>
    <font>
      <sz val="12"/>
      <name val="Arial"/>
      <family val="2"/>
    </font>
    <font>
      <b/>
      <i/>
      <sz val="12"/>
      <name val="Arial"/>
      <family val="2"/>
    </font>
    <font>
      <sz val="8"/>
      <name val="MS Sans Serif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9"/>
      <color rgb="FF000000"/>
      <name val="Arial"/>
      <family val="2"/>
    </font>
    <font>
      <vertAlign val="superscript"/>
      <sz val="9"/>
      <color rgb="FF000000"/>
      <name val="Arial"/>
      <family val="2"/>
    </font>
    <font>
      <sz val="9"/>
      <color rgb="FF00B0F0"/>
      <name val="Arial"/>
      <family val="2"/>
    </font>
    <font>
      <u/>
      <sz val="12"/>
      <name val="Arial"/>
      <family val="2"/>
    </font>
    <font>
      <sz val="10"/>
      <name val="MS Sans Serif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0" fontId="2" fillId="0" borderId="0"/>
    <xf numFmtId="0" fontId="2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5" borderId="0"/>
    <xf numFmtId="0" fontId="21" fillId="8" borderId="0"/>
    <xf numFmtId="0" fontId="21" fillId="11" borderId="0"/>
    <xf numFmtId="0" fontId="22" fillId="12" borderId="0"/>
    <xf numFmtId="0" fontId="22" fillId="9" borderId="0"/>
    <xf numFmtId="0" fontId="22" fillId="10" borderId="0"/>
    <xf numFmtId="0" fontId="22" fillId="13" borderId="0"/>
    <xf numFmtId="0" fontId="22" fillId="14" borderId="0"/>
    <xf numFmtId="0" fontId="22" fillId="15" borderId="0"/>
    <xf numFmtId="0" fontId="22" fillId="16" borderId="0"/>
    <xf numFmtId="0" fontId="22" fillId="17" borderId="0"/>
    <xf numFmtId="0" fontId="22" fillId="18" borderId="0"/>
    <xf numFmtId="0" fontId="22" fillId="13" borderId="0"/>
    <xf numFmtId="0" fontId="22" fillId="14" borderId="0"/>
    <xf numFmtId="0" fontId="22" fillId="19" borderId="0"/>
    <xf numFmtId="0" fontId="23" fillId="0" borderId="0"/>
    <xf numFmtId="0" fontId="24" fillId="20" borderId="1"/>
    <xf numFmtId="0" fontId="25" fillId="0" borderId="2"/>
    <xf numFmtId="0" fontId="26" fillId="7" borderId="1"/>
    <xf numFmtId="0" fontId="27" fillId="3" borderId="0"/>
    <xf numFmtId="0" fontId="10" fillId="0" borderId="0" applyNumberFormat="0" applyFill="0" applyBorder="0" applyAlignment="0" applyProtection="0">
      <alignment vertical="top"/>
      <protection locked="0"/>
    </xf>
    <xf numFmtId="38" fontId="1" fillId="0" borderId="0"/>
    <xf numFmtId="164" fontId="1" fillId="0" borderId="0"/>
    <xf numFmtId="0" fontId="28" fillId="21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22" borderId="3"/>
    <xf numFmtId="9" fontId="2" fillId="0" borderId="0"/>
    <xf numFmtId="0" fontId="29" fillId="4" borderId="0"/>
    <xf numFmtId="0" fontId="30" fillId="20" borderId="4"/>
    <xf numFmtId="0" fontId="31" fillId="0" borderId="0"/>
    <xf numFmtId="0" fontId="32" fillId="0" borderId="0"/>
    <xf numFmtId="0" fontId="33" fillId="0" borderId="5"/>
    <xf numFmtId="0" fontId="34" fillId="0" borderId="6"/>
    <xf numFmtId="0" fontId="35" fillId="0" borderId="7"/>
    <xf numFmtId="0" fontId="35" fillId="0" borderId="0"/>
    <xf numFmtId="0" fontId="36" fillId="0" borderId="8"/>
    <xf numFmtId="0" fontId="37" fillId="23" borderId="9"/>
    <xf numFmtId="43" fontId="42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39" applyFont="1"/>
    <xf numFmtId="0" fontId="4" fillId="0" borderId="0" xfId="39" applyFont="1"/>
    <xf numFmtId="0" fontId="8" fillId="0" borderId="0" xfId="39" applyFont="1"/>
    <xf numFmtId="0" fontId="6" fillId="0" borderId="0" xfId="0" applyFont="1"/>
    <xf numFmtId="0" fontId="9" fillId="0" borderId="0" xfId="0" applyFont="1"/>
    <xf numFmtId="0" fontId="11" fillId="0" borderId="0" xfId="0" applyFont="1" applyAlignment="1">
      <alignment vertical="center"/>
    </xf>
    <xf numFmtId="0" fontId="11" fillId="0" borderId="0" xfId="39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32" applyFont="1" applyAlignment="1" applyProtection="1"/>
    <xf numFmtId="3" fontId="6" fillId="0" borderId="0" xfId="0" applyNumberFormat="1" applyFont="1"/>
    <xf numFmtId="3" fontId="15" fillId="0" borderId="0" xfId="0" applyNumberFormat="1" applyFont="1"/>
    <xf numFmtId="0" fontId="15" fillId="0" borderId="0" xfId="0" applyFont="1"/>
    <xf numFmtId="0" fontId="3" fillId="0" borderId="10" xfId="39" applyFont="1" applyBorder="1"/>
    <xf numFmtId="0" fontId="3" fillId="0" borderId="10" xfId="39" applyFont="1" applyBorder="1" applyAlignment="1">
      <alignment horizontal="right" vertical="center" wrapText="1"/>
    </xf>
    <xf numFmtId="0" fontId="3" fillId="0" borderId="0" xfId="39" applyFont="1" applyAlignment="1">
      <alignment vertical="center" wrapText="1"/>
    </xf>
    <xf numFmtId="0" fontId="3" fillId="0" borderId="10" xfId="39" applyFont="1" applyBorder="1" applyAlignment="1">
      <alignment vertical="center" wrapText="1"/>
    </xf>
    <xf numFmtId="0" fontId="16" fillId="0" borderId="0" xfId="0" applyFont="1"/>
    <xf numFmtId="3" fontId="3" fillId="0" borderId="10" xfId="39" applyNumberFormat="1" applyFont="1" applyBorder="1" applyAlignment="1">
      <alignment horizontal="right" vertical="center" wrapText="1"/>
    </xf>
    <xf numFmtId="0" fontId="4" fillId="0" borderId="11" xfId="39" applyFont="1" applyBorder="1"/>
    <xf numFmtId="0" fontId="4" fillId="0" borderId="11" xfId="39" applyFont="1" applyBorder="1" applyAlignment="1">
      <alignment horizontal="right" vertical="center"/>
    </xf>
    <xf numFmtId="0" fontId="19" fillId="0" borderId="0" xfId="0" applyFont="1" applyAlignment="1">
      <alignment horizontal="justify" vertical="center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right" vertical="center" wrapText="1"/>
    </xf>
    <xf numFmtId="3" fontId="4" fillId="0" borderId="11" xfId="0" applyNumberFormat="1" applyFont="1" applyBorder="1" applyAlignment="1">
      <alignment horizontal="right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right" vertical="center" wrapText="1"/>
    </xf>
    <xf numFmtId="165" fontId="4" fillId="0" borderId="11" xfId="0" applyNumberFormat="1" applyFont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4" fillId="0" borderId="11" xfId="0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right" vertical="center"/>
    </xf>
    <xf numFmtId="165" fontId="4" fillId="0" borderId="11" xfId="0" applyNumberFormat="1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right" vertical="center" wrapText="1"/>
    </xf>
    <xf numFmtId="1" fontId="4" fillId="0" borderId="11" xfId="0" applyNumberFormat="1" applyFont="1" applyBorder="1" applyAlignment="1">
      <alignment horizontal="right" vertical="center"/>
    </xf>
    <xf numFmtId="0" fontId="38" fillId="0" borderId="11" xfId="0" applyFont="1" applyBorder="1" applyAlignment="1">
      <alignment vertical="center" wrapText="1"/>
    </xf>
    <xf numFmtId="0" fontId="38" fillId="0" borderId="11" xfId="0" applyFont="1" applyBorder="1" applyAlignment="1">
      <alignment horizontal="right" vertical="center" wrapText="1"/>
    </xf>
    <xf numFmtId="3" fontId="38" fillId="0" borderId="11" xfId="0" applyNumberFormat="1" applyFont="1" applyBorder="1" applyAlignment="1">
      <alignment horizontal="right" vertical="center" wrapText="1"/>
    </xf>
    <xf numFmtId="165" fontId="38" fillId="0" borderId="11" xfId="0" applyNumberFormat="1" applyFont="1" applyBorder="1" applyAlignment="1">
      <alignment horizontal="right" vertical="center" wrapText="1"/>
    </xf>
    <xf numFmtId="1" fontId="38" fillId="0" borderId="1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18" fillId="0" borderId="0" xfId="0" applyFont="1" applyAlignment="1">
      <alignment horizontal="justify" vertical="center"/>
    </xf>
    <xf numFmtId="0" fontId="4" fillId="0" borderId="11" xfId="0" applyFont="1" applyBorder="1" applyAlignment="1">
      <alignment vertical="center"/>
    </xf>
    <xf numFmtId="0" fontId="19" fillId="0" borderId="0" xfId="0" applyFont="1" applyAlignment="1">
      <alignment vertical="center"/>
    </xf>
    <xf numFmtId="166" fontId="4" fillId="0" borderId="11" xfId="0" applyNumberFormat="1" applyFont="1" applyBorder="1" applyAlignment="1">
      <alignment horizontal="right" vertical="center" wrapText="1"/>
    </xf>
    <xf numFmtId="166" fontId="4" fillId="0" borderId="1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0" fillId="0" borderId="0" xfId="0" applyFont="1"/>
    <xf numFmtId="0" fontId="41" fillId="0" borderId="0" xfId="32" applyFont="1" applyAlignment="1" applyProtection="1">
      <alignment vertical="center"/>
    </xf>
    <xf numFmtId="0" fontId="6" fillId="0" borderId="0" xfId="0" applyFont="1" applyAlignment="1">
      <alignment vertical="center"/>
    </xf>
    <xf numFmtId="0" fontId="14" fillId="0" borderId="0" xfId="32" applyFont="1" applyAlignment="1" applyProtection="1">
      <alignment vertical="center"/>
    </xf>
    <xf numFmtId="0" fontId="5" fillId="0" borderId="0" xfId="39" applyFont="1" applyAlignment="1">
      <alignment vertical="center"/>
    </xf>
    <xf numFmtId="0" fontId="3" fillId="0" borderId="11" xfId="39" applyFont="1" applyBorder="1" applyAlignment="1">
      <alignment vertical="center"/>
    </xf>
    <xf numFmtId="0" fontId="3" fillId="0" borderId="10" xfId="39" applyFont="1" applyBorder="1" applyAlignment="1">
      <alignment vertical="center"/>
    </xf>
    <xf numFmtId="0" fontId="4" fillId="0" borderId="11" xfId="39" applyFont="1" applyBorder="1" applyAlignment="1">
      <alignment vertical="center"/>
    </xf>
    <xf numFmtId="0" fontId="4" fillId="0" borderId="11" xfId="39" applyFont="1" applyBorder="1" applyAlignment="1">
      <alignment horizontal="left" vertical="center"/>
    </xf>
    <xf numFmtId="0" fontId="8" fillId="0" borderId="0" xfId="39" applyFont="1" applyAlignment="1">
      <alignment vertical="center"/>
    </xf>
    <xf numFmtId="0" fontId="4" fillId="0" borderId="0" xfId="39" applyFont="1" applyAlignment="1">
      <alignment vertical="center"/>
    </xf>
    <xf numFmtId="165" fontId="4" fillId="0" borderId="10" xfId="39" applyNumberFormat="1" applyFont="1" applyBorder="1" applyAlignment="1">
      <alignment horizontal="right" vertical="center"/>
    </xf>
    <xf numFmtId="165" fontId="4" fillId="0" borderId="11" xfId="39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vertical="center"/>
    </xf>
    <xf numFmtId="3" fontId="15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39" applyFont="1" applyAlignment="1">
      <alignment horizontal="right" vertical="center"/>
    </xf>
    <xf numFmtId="0" fontId="3" fillId="0" borderId="10" xfId="39" applyFont="1" applyBorder="1" applyAlignment="1">
      <alignment horizontal="right" vertical="center"/>
    </xf>
    <xf numFmtId="0" fontId="3" fillId="0" borderId="0" xfId="39" applyFont="1" applyAlignment="1">
      <alignment vertical="center"/>
    </xf>
    <xf numFmtId="166" fontId="7" fillId="0" borderId="0" xfId="39" applyNumberFormat="1" applyFont="1" applyAlignment="1">
      <alignment horizontal="right" vertical="center"/>
    </xf>
    <xf numFmtId="166" fontId="4" fillId="0" borderId="0" xfId="39" applyNumberFormat="1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8" fillId="0" borderId="0" xfId="39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4" fillId="0" borderId="0" xfId="32" applyFont="1" applyAlignment="1" applyProtection="1">
      <alignment horizontal="right" vertical="center"/>
    </xf>
    <xf numFmtId="0" fontId="5" fillId="0" borderId="0" xfId="39" applyFont="1" applyAlignment="1">
      <alignment horizontal="right" vertical="center"/>
    </xf>
    <xf numFmtId="0" fontId="3" fillId="0" borderId="11" xfId="39" applyFont="1" applyBorder="1" applyAlignment="1">
      <alignment horizontal="right" vertical="center"/>
    </xf>
    <xf numFmtId="166" fontId="4" fillId="0" borderId="0" xfId="39" applyNumberFormat="1" applyFont="1" applyAlignment="1">
      <alignment horizontal="right" vertical="center" wrapText="1"/>
    </xf>
    <xf numFmtId="3" fontId="4" fillId="0" borderId="0" xfId="39" applyNumberFormat="1" applyFont="1" applyAlignment="1">
      <alignment vertical="center"/>
    </xf>
    <xf numFmtId="0" fontId="4" fillId="0" borderId="10" xfId="39" applyFont="1" applyBorder="1" applyAlignment="1">
      <alignment horizontal="left" vertical="center"/>
    </xf>
    <xf numFmtId="0" fontId="4" fillId="0" borderId="10" xfId="39" applyFont="1" applyBorder="1" applyAlignment="1">
      <alignment vertical="center"/>
    </xf>
    <xf numFmtId="3" fontId="4" fillId="0" borderId="10" xfId="39" applyNumberFormat="1" applyFont="1" applyBorder="1" applyAlignment="1">
      <alignment vertical="center"/>
    </xf>
    <xf numFmtId="165" fontId="4" fillId="0" borderId="10" xfId="39" applyNumberFormat="1" applyFont="1" applyBorder="1" applyAlignment="1">
      <alignment vertical="center"/>
    </xf>
    <xf numFmtId="3" fontId="4" fillId="0" borderId="10" xfId="39" applyNumberFormat="1" applyFont="1" applyBorder="1" applyAlignment="1">
      <alignment horizontal="right" vertical="center"/>
    </xf>
    <xf numFmtId="3" fontId="4" fillId="0" borderId="11" xfId="39" applyNumberFormat="1" applyFont="1" applyBorder="1" applyAlignment="1">
      <alignment vertical="center"/>
    </xf>
    <xf numFmtId="165" fontId="4" fillId="0" borderId="11" xfId="39" applyNumberFormat="1" applyFont="1" applyBorder="1" applyAlignment="1">
      <alignment vertical="center"/>
    </xf>
    <xf numFmtId="10" fontId="4" fillId="0" borderId="0" xfId="39" applyNumberFormat="1" applyFont="1" applyAlignment="1">
      <alignment vertical="center"/>
    </xf>
    <xf numFmtId="3" fontId="4" fillId="0" borderId="11" xfId="39" applyNumberFormat="1" applyFont="1" applyBorder="1" applyAlignment="1">
      <alignment horizontal="right" vertical="center"/>
    </xf>
    <xf numFmtId="1" fontId="4" fillId="0" borderId="11" xfId="39" applyNumberFormat="1" applyFont="1" applyBorder="1" applyAlignment="1">
      <alignment vertical="center"/>
    </xf>
    <xf numFmtId="3" fontId="8" fillId="0" borderId="0" xfId="39" applyNumberFormat="1" applyFont="1" applyAlignment="1">
      <alignment vertical="center"/>
    </xf>
    <xf numFmtId="0" fontId="8" fillId="0" borderId="0" xfId="0" applyFont="1" applyAlignment="1">
      <alignment horizontal="justify" vertical="center"/>
    </xf>
    <xf numFmtId="0" fontId="15" fillId="0" borderId="0" xfId="0" applyFont="1" applyAlignment="1">
      <alignment horizontal="right" vertical="center"/>
    </xf>
    <xf numFmtId="166" fontId="4" fillId="0" borderId="0" xfId="39" applyNumberFormat="1" applyFont="1" applyAlignment="1">
      <alignment vertical="center"/>
    </xf>
    <xf numFmtId="0" fontId="39" fillId="0" borderId="0" xfId="0" applyFont="1" applyAlignment="1">
      <alignment vertical="center"/>
    </xf>
    <xf numFmtId="165" fontId="4" fillId="0" borderId="0" xfId="39" applyNumberFormat="1" applyFont="1" applyAlignment="1">
      <alignment vertical="center"/>
    </xf>
    <xf numFmtId="165" fontId="4" fillId="0" borderId="10" xfId="0" applyNumberFormat="1" applyFont="1" applyBorder="1" applyAlignment="1">
      <alignment horizontal="right" vertical="center" wrapText="1"/>
    </xf>
    <xf numFmtId="0" fontId="4" fillId="24" borderId="11" xfId="0" applyFont="1" applyFill="1" applyBorder="1" applyAlignment="1">
      <alignment horizontal="right" vertical="center"/>
    </xf>
    <xf numFmtId="3" fontId="4" fillId="24" borderId="11" xfId="0" applyNumberFormat="1" applyFont="1" applyFill="1" applyBorder="1" applyAlignment="1">
      <alignment horizontal="right" vertical="center" wrapText="1"/>
    </xf>
    <xf numFmtId="165" fontId="4" fillId="24" borderId="11" xfId="0" applyNumberFormat="1" applyFont="1" applyFill="1" applyBorder="1" applyAlignment="1">
      <alignment horizontal="right" vertical="center" wrapText="1"/>
    </xf>
    <xf numFmtId="1" fontId="4" fillId="24" borderId="11" xfId="0" applyNumberFormat="1" applyFont="1" applyFill="1" applyBorder="1" applyAlignment="1">
      <alignment horizontal="right" vertical="center" wrapText="1"/>
    </xf>
    <xf numFmtId="0" fontId="4" fillId="24" borderId="11" xfId="0" applyFont="1" applyFill="1" applyBorder="1" applyAlignment="1">
      <alignment horizontal="right" vertical="center" wrapText="1"/>
    </xf>
    <xf numFmtId="4" fontId="4" fillId="0" borderId="11" xfId="0" applyNumberFormat="1" applyFont="1" applyBorder="1" applyAlignment="1">
      <alignment horizontal="right" vertical="center"/>
    </xf>
    <xf numFmtId="167" fontId="4" fillId="0" borderId="11" xfId="52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</cellXfs>
  <cellStyles count="53">
    <cellStyle name=" 1" xfId="1" xr:uid="{00000000-0005-0000-0000-000000000000}"/>
    <cellStyle name=" 1 2" xfId="2" xr:uid="{00000000-0005-0000-0000-000001000000}"/>
    <cellStyle name="20 % - Accent1 2" xfId="3" xr:uid="{00000000-0005-0000-0000-000002000000}"/>
    <cellStyle name="20 % - Accent2 2" xfId="4" xr:uid="{00000000-0005-0000-0000-000003000000}"/>
    <cellStyle name="20 % - Accent3 2" xfId="5" xr:uid="{00000000-0005-0000-0000-000004000000}"/>
    <cellStyle name="20 % - Accent4 2" xfId="6" xr:uid="{00000000-0005-0000-0000-000005000000}"/>
    <cellStyle name="20 % - Accent5 2" xfId="7" xr:uid="{00000000-0005-0000-0000-000006000000}"/>
    <cellStyle name="20 % - Accent6 2" xfId="8" xr:uid="{00000000-0005-0000-0000-000007000000}"/>
    <cellStyle name="40 % - Accent1 2" xfId="9" xr:uid="{00000000-0005-0000-0000-000008000000}"/>
    <cellStyle name="40 % - Accent2 2" xfId="10" xr:uid="{00000000-0005-0000-0000-000009000000}"/>
    <cellStyle name="40 % - Accent3 2" xfId="11" xr:uid="{00000000-0005-0000-0000-00000A000000}"/>
    <cellStyle name="40 % - Accent4 2" xfId="12" xr:uid="{00000000-0005-0000-0000-00000B000000}"/>
    <cellStyle name="40 % - Accent5 2" xfId="13" xr:uid="{00000000-0005-0000-0000-00000C000000}"/>
    <cellStyle name="40 % - Accent6 2" xfId="14" xr:uid="{00000000-0005-0000-0000-00000D000000}"/>
    <cellStyle name="60 % - Accent1 2" xfId="15" xr:uid="{00000000-0005-0000-0000-00000E000000}"/>
    <cellStyle name="60 % - Accent2 2" xfId="16" xr:uid="{00000000-0005-0000-0000-00000F000000}"/>
    <cellStyle name="60 % - Accent3 2" xfId="17" xr:uid="{00000000-0005-0000-0000-000010000000}"/>
    <cellStyle name="60 % - Accent4 2" xfId="18" xr:uid="{00000000-0005-0000-0000-000011000000}"/>
    <cellStyle name="60 % - Accent5 2" xfId="19" xr:uid="{00000000-0005-0000-0000-000012000000}"/>
    <cellStyle name="60 % - Accent6 2" xfId="20" xr:uid="{00000000-0005-0000-0000-000013000000}"/>
    <cellStyle name="Accent1 2" xfId="21" xr:uid="{00000000-0005-0000-0000-000014000000}"/>
    <cellStyle name="Accent2 2" xfId="22" xr:uid="{00000000-0005-0000-0000-000015000000}"/>
    <cellStyle name="Accent3 2" xfId="23" xr:uid="{00000000-0005-0000-0000-000016000000}"/>
    <cellStyle name="Accent4 2" xfId="24" xr:uid="{00000000-0005-0000-0000-000017000000}"/>
    <cellStyle name="Accent5 2" xfId="25" xr:uid="{00000000-0005-0000-0000-000018000000}"/>
    <cellStyle name="Accent6 2" xfId="26" xr:uid="{00000000-0005-0000-0000-000019000000}"/>
    <cellStyle name="Avertissement 2" xfId="27" xr:uid="{00000000-0005-0000-0000-00001A000000}"/>
    <cellStyle name="Calcul 2" xfId="28" xr:uid="{00000000-0005-0000-0000-00001B000000}"/>
    <cellStyle name="Cellule liée 2" xfId="29" xr:uid="{00000000-0005-0000-0000-00001C000000}"/>
    <cellStyle name="Entrée 2" xfId="30" xr:uid="{00000000-0005-0000-0000-00001D000000}"/>
    <cellStyle name="Insatisfaisant 2" xfId="31" xr:uid="{00000000-0005-0000-0000-00001E000000}"/>
    <cellStyle name="Lien hypertexte" xfId="32" builtinId="8"/>
    <cellStyle name="Milliers" xfId="52" builtinId="3"/>
    <cellStyle name="Milliers [0] 2" xfId="33" xr:uid="{00000000-0005-0000-0000-000020000000}"/>
    <cellStyle name="Monétaire [0] 2" xfId="34" xr:uid="{00000000-0005-0000-0000-000021000000}"/>
    <cellStyle name="Neutre 2" xfId="35" xr:uid="{00000000-0005-0000-0000-000022000000}"/>
    <cellStyle name="Normal" xfId="0" builtinId="0"/>
    <cellStyle name="Normal 2" xfId="36" xr:uid="{00000000-0005-0000-0000-000024000000}"/>
    <cellStyle name="Normal 3" xfId="37" xr:uid="{00000000-0005-0000-0000-000025000000}"/>
    <cellStyle name="Normal 4" xfId="38" xr:uid="{00000000-0005-0000-0000-000026000000}"/>
    <cellStyle name="Normal_Chap 12 Bilan 2007" xfId="39" xr:uid="{00000000-0005-0000-0000-000027000000}"/>
    <cellStyle name="Note 2" xfId="40" xr:uid="{00000000-0005-0000-0000-000028000000}"/>
    <cellStyle name="Pourcentage 2" xfId="41" xr:uid="{00000000-0005-0000-0000-000029000000}"/>
    <cellStyle name="Satisfaisant 2" xfId="42" xr:uid="{00000000-0005-0000-0000-00002A000000}"/>
    <cellStyle name="Sortie 2" xfId="43" xr:uid="{00000000-0005-0000-0000-00002B000000}"/>
    <cellStyle name="Texte explicatif 2" xfId="44" xr:uid="{00000000-0005-0000-0000-00002C000000}"/>
    <cellStyle name="Titre 2" xfId="45" xr:uid="{00000000-0005-0000-0000-00002D000000}"/>
    <cellStyle name="Titre 1 2" xfId="46" xr:uid="{00000000-0005-0000-0000-00002E000000}"/>
    <cellStyle name="Titre 2 2" xfId="47" xr:uid="{00000000-0005-0000-0000-00002F000000}"/>
    <cellStyle name="Titre 3 2" xfId="48" xr:uid="{00000000-0005-0000-0000-000030000000}"/>
    <cellStyle name="Titre 4 2" xfId="49" xr:uid="{00000000-0005-0000-0000-000031000000}"/>
    <cellStyle name="Total 2" xfId="50" xr:uid="{00000000-0005-0000-0000-000032000000}"/>
    <cellStyle name="Vérification 2" xfId="51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25400</xdr:rowOff>
    </xdr:from>
    <xdr:to>
      <xdr:col>1</xdr:col>
      <xdr:colOff>736600</xdr:colOff>
      <xdr:row>1</xdr:row>
      <xdr:rowOff>152400</xdr:rowOff>
    </xdr:to>
    <xdr:pic>
      <xdr:nvPicPr>
        <xdr:cNvPr id="2109" name="Picture 2" descr="image_gallery">
          <a:extLst>
            <a:ext uri="{FF2B5EF4-FFF2-40B4-BE49-F238E27FC236}">
              <a16:creationId xmlns:a16="http://schemas.microsoft.com/office/drawing/2014/main" id="{AC1178DF-9434-4169-A465-824BEB2D6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25400"/>
          <a:ext cx="1524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6</xdr:row>
      <xdr:rowOff>0</xdr:rowOff>
    </xdr:from>
    <xdr:to>
      <xdr:col>12</xdr:col>
      <xdr:colOff>307976</xdr:colOff>
      <xdr:row>8</xdr:row>
      <xdr:rowOff>19050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CDAA6660-87C0-4F19-AEFB-4003E5CDD404}"/>
            </a:ext>
          </a:extLst>
        </xdr:cNvPr>
        <xdr:cNvSpPr>
          <a:spLocks noChangeArrowheads="1"/>
        </xdr:cNvSpPr>
      </xdr:nvSpPr>
      <xdr:spPr bwMode="auto">
        <a:xfrm>
          <a:off x="380999" y="1009650"/>
          <a:ext cx="867727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Indice de fréquentation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L'indice de fréquentation est le rapport entre le nombre d'entrées et la population résidente sur une zone géographique donnée.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12</xdr:col>
      <xdr:colOff>317500</xdr:colOff>
      <xdr:row>21</xdr:row>
      <xdr:rowOff>79388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587C4BFF-2205-4768-8EE7-6D59318C5215}"/>
            </a:ext>
          </a:extLst>
        </xdr:cNvPr>
        <xdr:cNvSpPr>
          <a:spLocks noChangeArrowheads="1"/>
        </xdr:cNvSpPr>
      </xdr:nvSpPr>
      <xdr:spPr bwMode="auto">
        <a:xfrm>
          <a:off x="381000" y="2019300"/>
          <a:ext cx="8686800" cy="154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EFARN: European Film Agency Research Network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FFA : Filmförderungsanstalt - SPIO : Spitzenorganisation der Filmwirtschaft (Allemagne)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ICAA : Instituto de la Cinematografia y de las Artes Audiovisuales (Espagne)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MPAA : Motion Picture Association of America (Etats-Unis)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Motion Picture Producers Association of Japan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ANICA : Associazione Nazionale Industrie Cinematografiche Audiovisive e Multimediali (Italie) - Cinetel - SIAE : Società Italiana degli Autori ed Editori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BFI : British Film Institute (Royaume-Uni)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Neva Film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IMCINE : Instituto Mexicano de Cinematografía - CANACINE : Cámara Nacional de la Industria Cinematográfica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UniFrance</a:t>
          </a: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279400</xdr:colOff>
      <xdr:row>27</xdr:row>
      <xdr:rowOff>19050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E287EB2A-BECE-4188-8388-0456B80CD5DE}"/>
            </a:ext>
          </a:extLst>
        </xdr:cNvPr>
        <xdr:cNvSpPr>
          <a:spLocks noChangeArrowheads="1"/>
        </xdr:cNvSpPr>
      </xdr:nvSpPr>
      <xdr:spPr bwMode="auto">
        <a:xfrm>
          <a:off x="381000" y="4162425"/>
          <a:ext cx="864870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Screendigest, Screen International, Screen Finance, Variety, The Hollywood Reporter, Cinema d'Oggi, China Film Insider, Cineuropa, Focus - Tendances du marché mondial du film (Observatoire européen de l'audiovisuel).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581028</xdr:colOff>
      <xdr:row>9</xdr:row>
      <xdr:rowOff>165065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2C2B807E-1660-4DC7-B439-593472FCAD18}"/>
            </a:ext>
          </a:extLst>
        </xdr:cNvPr>
        <xdr:cNvSpPr/>
      </xdr:nvSpPr>
      <xdr:spPr>
        <a:xfrm>
          <a:off x="0" y="0"/>
          <a:ext cx="8201028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>
            <a:lnSpc>
              <a:spcPts val="6000"/>
            </a:lnSpc>
          </a:pPr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NE PAS MODIFIER </a:t>
          </a:r>
        </a:p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Pour Esri uniquement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24"/>
  <sheetViews>
    <sheetView showGridLines="0" tabSelected="1" workbookViewId="0">
      <selection activeCell="A8" sqref="A8"/>
    </sheetView>
  </sheetViews>
  <sheetFormatPr baseColWidth="10" defaultColWidth="11.42578125" defaultRowHeight="12.75" x14ac:dyDescent="0.2"/>
  <cols>
    <col min="1" max="1" width="11.42578125" style="4"/>
    <col min="2" max="2" width="40" style="4" customWidth="1"/>
    <col min="3" max="16384" width="11.42578125" style="4"/>
  </cols>
  <sheetData>
    <row r="5" spans="1:2" ht="26.25" x14ac:dyDescent="0.4">
      <c r="A5" s="5" t="s">
        <v>14</v>
      </c>
    </row>
    <row r="7" spans="1:2" x14ac:dyDescent="0.2">
      <c r="A7" s="48" t="s">
        <v>130</v>
      </c>
    </row>
    <row r="10" spans="1:2" s="6" customFormat="1" ht="21" customHeight="1" x14ac:dyDescent="0.2">
      <c r="B10" s="49" t="s">
        <v>15</v>
      </c>
    </row>
    <row r="11" spans="1:2" s="6" customFormat="1" ht="21" customHeight="1" x14ac:dyDescent="0.2"/>
    <row r="12" spans="1:2" s="6" customFormat="1" ht="21" customHeight="1" x14ac:dyDescent="0.2">
      <c r="A12" s="8" t="s">
        <v>16</v>
      </c>
    </row>
    <row r="13" spans="1:2" s="6" customFormat="1" ht="21" customHeight="1" x14ac:dyDescent="0.2">
      <c r="B13" s="49" t="s">
        <v>3</v>
      </c>
    </row>
    <row r="14" spans="1:2" s="6" customFormat="1" ht="21" customHeight="1" x14ac:dyDescent="0.2">
      <c r="B14" s="49" t="s">
        <v>4</v>
      </c>
    </row>
    <row r="15" spans="1:2" s="6" customFormat="1" ht="21" customHeight="1" x14ac:dyDescent="0.2">
      <c r="B15" s="49" t="s">
        <v>6</v>
      </c>
    </row>
    <row r="16" spans="1:2" s="6" customFormat="1" ht="21" customHeight="1" x14ac:dyDescent="0.2">
      <c r="B16" s="49" t="s">
        <v>7</v>
      </c>
    </row>
    <row r="17" spans="1:2" s="6" customFormat="1" ht="21" customHeight="1" x14ac:dyDescent="0.2">
      <c r="B17" s="49" t="s">
        <v>8</v>
      </c>
    </row>
    <row r="18" spans="1:2" s="6" customFormat="1" ht="21" customHeight="1" x14ac:dyDescent="0.2">
      <c r="B18" s="49" t="s">
        <v>48</v>
      </c>
    </row>
    <row r="19" spans="1:2" s="6" customFormat="1" ht="21" customHeight="1" x14ac:dyDescent="0.2">
      <c r="B19" s="7"/>
    </row>
    <row r="20" spans="1:2" s="6" customFormat="1" ht="21" customHeight="1" x14ac:dyDescent="0.2">
      <c r="A20" s="8" t="s">
        <v>17</v>
      </c>
      <c r="B20" s="7"/>
    </row>
    <row r="21" spans="1:2" s="6" customFormat="1" ht="21" customHeight="1" x14ac:dyDescent="0.2">
      <c r="B21" s="49" t="s">
        <v>11</v>
      </c>
    </row>
    <row r="22" spans="1:2" s="6" customFormat="1" ht="21" customHeight="1" x14ac:dyDescent="0.2">
      <c r="B22" s="49" t="s">
        <v>53</v>
      </c>
    </row>
    <row r="23" spans="1:2" s="6" customFormat="1" ht="21" customHeight="1" x14ac:dyDescent="0.2">
      <c r="B23" s="49" t="s">
        <v>13</v>
      </c>
    </row>
    <row r="24" spans="1:2" s="6" customFormat="1" ht="21" customHeight="1" x14ac:dyDescent="0.2">
      <c r="B24" s="49" t="s">
        <v>70</v>
      </c>
    </row>
  </sheetData>
  <phoneticPr fontId="13" type="noConversion"/>
  <hyperlinks>
    <hyperlink ref="B10" location="Définitions!A1" display="Définitions et sources" xr:uid="{00000000-0004-0000-0000-000000000000}"/>
    <hyperlink ref="B13" location="U.E.!A1" display="Le cinéma dans l'Union Européenne" xr:uid="{00000000-0004-0000-0000-000001000000}"/>
    <hyperlink ref="B14" location="Allemagne!A1" display="Le cinéma en Allemagne" xr:uid="{00000000-0004-0000-0000-000002000000}"/>
    <hyperlink ref="B15" location="Espagne!A1" display="Le cinéma en Espagne" xr:uid="{00000000-0004-0000-0000-000003000000}"/>
    <hyperlink ref="B16" location="Italie!A1" display="Le cinéma en Italie" xr:uid="{00000000-0004-0000-0000-000004000000}"/>
    <hyperlink ref="B17" location="'Royaume-Uni'!A1" display="Le cinéma au Royaume-Uni" xr:uid="{00000000-0004-0000-0000-000005000000}"/>
    <hyperlink ref="B21" location="'Etats-Unis'!A1" display="Le cinéma aux Etats-Unis" xr:uid="{00000000-0004-0000-0000-000006000000}"/>
    <hyperlink ref="B22" location="Mexique!A1" display="Le cinéma au Mexique" xr:uid="{00000000-0004-0000-0000-000007000000}"/>
    <hyperlink ref="B23" location="Japon!A1" display="Le cinéma au Japon" xr:uid="{00000000-0004-0000-0000-000008000000}"/>
    <hyperlink ref="B24" location="Chine!A1" display="Le cinéma en Chine" xr:uid="{00000000-0004-0000-0000-000009000000}"/>
    <hyperlink ref="B18" location="Russie!A1" display="Le cinéma en Russie" xr:uid="{00000000-0004-0000-0000-00000A000000}"/>
  </hyperlink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showGridLines="0" workbookViewId="0"/>
  </sheetViews>
  <sheetFormatPr baseColWidth="10" defaultColWidth="11.42578125" defaultRowHeight="12.75" x14ac:dyDescent="0.2"/>
  <cols>
    <col min="1" max="1" width="5.7109375" style="4" customWidth="1"/>
    <col min="2" max="16384" width="11.42578125" style="4"/>
  </cols>
  <sheetData>
    <row r="1" spans="1:16" x14ac:dyDescent="0.2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s="12" customFormat="1" x14ac:dyDescent="0.2">
      <c r="A2" s="9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15.75" x14ac:dyDescent="0.25">
      <c r="A5" s="17" t="s">
        <v>19</v>
      </c>
    </row>
    <row r="11" spans="1:16" s="17" customFormat="1" ht="15.75" x14ac:dyDescent="0.25">
      <c r="A11" s="17" t="s">
        <v>20</v>
      </c>
    </row>
    <row r="24" spans="1:1" ht="15.75" x14ac:dyDescent="0.25">
      <c r="A24" s="17" t="s">
        <v>21</v>
      </c>
    </row>
  </sheetData>
  <phoneticPr fontId="13" type="noConversion"/>
  <hyperlinks>
    <hyperlink ref="A2" location="Sommaire!A1" display="Retour au menu &quot;Données internationales&quot;" xr:uid="{00000000-0004-0000-01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zoomScaleNormal="100" workbookViewId="0"/>
  </sheetViews>
  <sheetFormatPr baseColWidth="10" defaultColWidth="11.42578125" defaultRowHeight="12" x14ac:dyDescent="0.2"/>
  <cols>
    <col min="1" max="1" width="6" style="58" customWidth="1"/>
    <col min="2" max="2" width="13.7109375" style="58" bestFit="1" customWidth="1"/>
    <col min="3" max="3" width="10" style="79" customWidth="1"/>
    <col min="4" max="4" width="9.28515625" style="79" customWidth="1"/>
    <col min="5" max="5" width="13.28515625" style="58" customWidth="1"/>
    <col min="6" max="6" width="16.42578125" style="58" customWidth="1"/>
    <col min="7" max="7" width="14.42578125" style="58" customWidth="1"/>
    <col min="8" max="16384" width="11.42578125" style="58"/>
  </cols>
  <sheetData>
    <row r="1" spans="1:14" s="50" customFormat="1" ht="12.75" x14ac:dyDescent="0.2">
      <c r="B1" s="63"/>
      <c r="C1" s="63"/>
      <c r="D1" s="63"/>
      <c r="E1" s="63"/>
      <c r="F1" s="63"/>
      <c r="G1" s="63"/>
    </row>
    <row r="2" spans="1:14" s="66" customFormat="1" ht="12.75" x14ac:dyDescent="0.2">
      <c r="A2" s="51" t="s">
        <v>18</v>
      </c>
      <c r="B2" s="65"/>
      <c r="C2" s="65"/>
      <c r="D2" s="65"/>
      <c r="E2" s="65"/>
      <c r="F2" s="65"/>
      <c r="G2" s="65"/>
    </row>
    <row r="3" spans="1:14" s="50" customFormat="1" ht="12.75" x14ac:dyDescent="0.2">
      <c r="B3" s="63"/>
      <c r="C3" s="63"/>
      <c r="D3" s="63"/>
      <c r="E3" s="63"/>
      <c r="F3" s="63"/>
      <c r="G3" s="63"/>
    </row>
    <row r="4" spans="1:14" s="50" customFormat="1" ht="12.75" x14ac:dyDescent="0.2">
      <c r="B4" s="63"/>
      <c r="C4" s="63"/>
      <c r="D4" s="63"/>
      <c r="E4" s="63"/>
      <c r="F4" s="63"/>
      <c r="G4" s="63"/>
    </row>
    <row r="5" spans="1:14" ht="14.25" x14ac:dyDescent="0.2">
      <c r="A5" s="52" t="s">
        <v>28</v>
      </c>
    </row>
    <row r="6" spans="1:14" ht="3" customHeight="1" x14ac:dyDescent="0.2">
      <c r="A6" s="69"/>
    </row>
    <row r="7" spans="1:14" s="15" customFormat="1" ht="37.5" customHeight="1" x14ac:dyDescent="0.2">
      <c r="A7" s="16"/>
      <c r="B7" s="14" t="s">
        <v>30</v>
      </c>
      <c r="C7" s="18" t="s">
        <v>23</v>
      </c>
      <c r="D7" s="18" t="s">
        <v>31</v>
      </c>
      <c r="E7" s="14" t="s">
        <v>35</v>
      </c>
      <c r="F7" s="14" t="s">
        <v>32</v>
      </c>
      <c r="G7" s="14" t="s">
        <v>33</v>
      </c>
    </row>
    <row r="8" spans="1:14" x14ac:dyDescent="0.2">
      <c r="A8" s="80">
        <v>2004</v>
      </c>
      <c r="B8" s="81">
        <v>877</v>
      </c>
      <c r="C8" s="82">
        <v>28727</v>
      </c>
      <c r="D8" s="82">
        <v>1013</v>
      </c>
      <c r="E8" s="83">
        <v>2.1</v>
      </c>
      <c r="F8" s="83">
        <v>30</v>
      </c>
      <c r="G8" s="83">
        <v>67</v>
      </c>
    </row>
    <row r="9" spans="1:14" x14ac:dyDescent="0.2">
      <c r="A9" s="80">
        <v>2005</v>
      </c>
      <c r="B9" s="81">
        <v>918</v>
      </c>
      <c r="C9" s="82">
        <v>29562</v>
      </c>
      <c r="D9" s="82">
        <v>899</v>
      </c>
      <c r="E9" s="83">
        <v>1.8</v>
      </c>
      <c r="F9" s="83">
        <v>35</v>
      </c>
      <c r="G9" s="83">
        <v>63</v>
      </c>
    </row>
    <row r="10" spans="1:14" x14ac:dyDescent="0.2">
      <c r="A10" s="80">
        <v>2006</v>
      </c>
      <c r="B10" s="82">
        <v>1047</v>
      </c>
      <c r="C10" s="84">
        <v>29467</v>
      </c>
      <c r="D10" s="82">
        <v>932</v>
      </c>
      <c r="E10" s="83">
        <v>1.9</v>
      </c>
      <c r="F10" s="83">
        <v>34</v>
      </c>
      <c r="G10" s="83">
        <v>63</v>
      </c>
      <c r="J10" s="79"/>
      <c r="K10" s="79"/>
      <c r="L10" s="79"/>
      <c r="M10" s="79"/>
      <c r="N10" s="79"/>
    </row>
    <row r="11" spans="1:14" x14ac:dyDescent="0.2">
      <c r="A11" s="80">
        <v>2007</v>
      </c>
      <c r="B11" s="82">
        <v>1047</v>
      </c>
      <c r="C11" s="84">
        <v>29703</v>
      </c>
      <c r="D11" s="82">
        <v>921</v>
      </c>
      <c r="E11" s="83">
        <v>1.9</v>
      </c>
      <c r="F11" s="83">
        <v>36</v>
      </c>
      <c r="G11" s="83">
        <v>63</v>
      </c>
    </row>
    <row r="12" spans="1:14" x14ac:dyDescent="0.2">
      <c r="A12" s="80">
        <v>2008</v>
      </c>
      <c r="B12" s="82">
        <v>1144</v>
      </c>
      <c r="C12" s="84">
        <v>29726</v>
      </c>
      <c r="D12" s="82">
        <v>926</v>
      </c>
      <c r="E12" s="83">
        <v>1.9</v>
      </c>
      <c r="F12" s="83">
        <v>33</v>
      </c>
      <c r="G12" s="83">
        <v>66</v>
      </c>
      <c r="J12" s="79"/>
    </row>
    <row r="13" spans="1:14" x14ac:dyDescent="0.2">
      <c r="A13" s="80">
        <v>2009</v>
      </c>
      <c r="B13" s="82">
        <v>1429</v>
      </c>
      <c r="C13" s="84">
        <v>29924</v>
      </c>
      <c r="D13" s="82">
        <v>982</v>
      </c>
      <c r="E13" s="83">
        <v>2</v>
      </c>
      <c r="F13" s="83">
        <v>31</v>
      </c>
      <c r="G13" s="83">
        <v>68</v>
      </c>
      <c r="J13" s="79"/>
    </row>
    <row r="14" spans="1:14" x14ac:dyDescent="0.2">
      <c r="A14" s="80">
        <v>2010</v>
      </c>
      <c r="B14" s="82">
        <v>1509</v>
      </c>
      <c r="C14" s="82">
        <v>29828</v>
      </c>
      <c r="D14" s="81">
        <v>964</v>
      </c>
      <c r="E14" s="81">
        <v>1.9</v>
      </c>
      <c r="F14" s="83">
        <v>30</v>
      </c>
      <c r="G14" s="83">
        <v>69</v>
      </c>
      <c r="J14" s="79"/>
    </row>
    <row r="15" spans="1:14" x14ac:dyDescent="0.2">
      <c r="A15" s="80">
        <v>2011</v>
      </c>
      <c r="B15" s="82">
        <v>1541</v>
      </c>
      <c r="C15" s="82">
        <v>29971</v>
      </c>
      <c r="D15" s="81">
        <v>968</v>
      </c>
      <c r="E15" s="81">
        <v>1.9</v>
      </c>
      <c r="F15" s="59">
        <v>37</v>
      </c>
      <c r="G15" s="83">
        <v>66</v>
      </c>
      <c r="I15" s="79"/>
      <c r="J15" s="79"/>
      <c r="K15" s="79"/>
      <c r="L15" s="79"/>
      <c r="M15" s="79"/>
    </row>
    <row r="16" spans="1:14" x14ac:dyDescent="0.2">
      <c r="A16" s="80">
        <v>2012</v>
      </c>
      <c r="B16" s="85">
        <v>1530</v>
      </c>
      <c r="C16" s="85">
        <v>29950</v>
      </c>
      <c r="D16" s="55">
        <v>949</v>
      </c>
      <c r="E16" s="55">
        <v>1.9</v>
      </c>
      <c r="F16" s="60">
        <v>35.200000000000003</v>
      </c>
      <c r="G16" s="86">
        <v>64</v>
      </c>
      <c r="J16" s="79"/>
    </row>
    <row r="17" spans="1:14" x14ac:dyDescent="0.2">
      <c r="A17" s="80">
        <v>2013</v>
      </c>
      <c r="B17" s="85">
        <v>1631</v>
      </c>
      <c r="C17" s="85">
        <v>31368</v>
      </c>
      <c r="D17" s="55">
        <v>906</v>
      </c>
      <c r="E17" s="86">
        <v>1.79</v>
      </c>
      <c r="F17" s="60">
        <v>27.3</v>
      </c>
      <c r="G17" s="86">
        <v>69.5</v>
      </c>
      <c r="I17" s="79"/>
    </row>
    <row r="18" spans="1:14" x14ac:dyDescent="0.2">
      <c r="A18" s="80">
        <v>2014</v>
      </c>
      <c r="B18" s="85">
        <v>1647</v>
      </c>
      <c r="C18" s="85">
        <v>31299</v>
      </c>
      <c r="D18" s="55">
        <v>911</v>
      </c>
      <c r="E18" s="86">
        <v>1.8</v>
      </c>
      <c r="F18" s="60">
        <v>33.300000000000004</v>
      </c>
      <c r="G18" s="86">
        <v>63.2</v>
      </c>
      <c r="I18" s="79"/>
      <c r="J18" s="79"/>
    </row>
    <row r="19" spans="1:14" x14ac:dyDescent="0.2">
      <c r="A19" s="80">
        <v>2015</v>
      </c>
      <c r="B19" s="85">
        <v>1724</v>
      </c>
      <c r="C19" s="85">
        <v>31762</v>
      </c>
      <c r="D19" s="55">
        <v>978</v>
      </c>
      <c r="E19" s="86">
        <v>1.92</v>
      </c>
      <c r="F19" s="60">
        <v>26.8</v>
      </c>
      <c r="G19" s="86">
        <v>63.2</v>
      </c>
      <c r="I19" s="79"/>
      <c r="K19" s="87"/>
      <c r="L19" s="87"/>
      <c r="M19" s="87"/>
      <c r="N19" s="87"/>
    </row>
    <row r="20" spans="1:14" x14ac:dyDescent="0.2">
      <c r="A20" s="80">
        <v>2016</v>
      </c>
      <c r="B20" s="85">
        <v>1829</v>
      </c>
      <c r="C20" s="85">
        <v>31679</v>
      </c>
      <c r="D20" s="55">
        <v>992</v>
      </c>
      <c r="E20" s="86">
        <v>1.94</v>
      </c>
      <c r="F20" s="60">
        <v>27.1</v>
      </c>
      <c r="G20" s="86">
        <v>67.300000000000011</v>
      </c>
      <c r="I20" s="79"/>
    </row>
    <row r="21" spans="1:14" x14ac:dyDescent="0.2">
      <c r="A21" s="80">
        <v>2017</v>
      </c>
      <c r="B21" s="85">
        <v>1802</v>
      </c>
      <c r="C21" s="85">
        <v>31605</v>
      </c>
      <c r="D21" s="55">
        <v>985</v>
      </c>
      <c r="E21" s="86">
        <v>1.92</v>
      </c>
      <c r="F21" s="60">
        <v>26.81811490929012</v>
      </c>
      <c r="G21" s="86">
        <v>66</v>
      </c>
      <c r="I21" s="79"/>
    </row>
    <row r="22" spans="1:14" x14ac:dyDescent="0.2">
      <c r="A22" s="80">
        <v>2018</v>
      </c>
      <c r="B22" s="88">
        <v>1888</v>
      </c>
      <c r="C22" s="88">
        <v>32060</v>
      </c>
      <c r="D22" s="55">
        <v>954</v>
      </c>
      <c r="E22" s="55">
        <v>1.9</v>
      </c>
      <c r="F22" s="60">
        <v>29.04448090208523</v>
      </c>
      <c r="G22" s="60">
        <v>62.6</v>
      </c>
    </row>
    <row r="23" spans="1:14" x14ac:dyDescent="0.2">
      <c r="A23" s="80">
        <v>2019</v>
      </c>
      <c r="B23" s="88">
        <v>2053</v>
      </c>
      <c r="C23" s="88">
        <v>32764</v>
      </c>
      <c r="D23" s="89">
        <v>1006.7</v>
      </c>
      <c r="E23" s="86">
        <v>2</v>
      </c>
      <c r="F23" s="60">
        <v>25</v>
      </c>
      <c r="G23" s="60">
        <v>68.2</v>
      </c>
    </row>
    <row r="24" spans="1:14" x14ac:dyDescent="0.2">
      <c r="A24" s="80">
        <v>2020</v>
      </c>
      <c r="B24" s="88">
        <v>1454</v>
      </c>
      <c r="C24" s="88">
        <v>32852</v>
      </c>
      <c r="D24" s="89">
        <v>299.39999999999998</v>
      </c>
      <c r="E24" s="86">
        <v>0.6</v>
      </c>
      <c r="F24" s="60">
        <v>39.299999999999997</v>
      </c>
      <c r="G24" s="60">
        <v>49.6</v>
      </c>
    </row>
    <row r="25" spans="1:14" x14ac:dyDescent="0.2">
      <c r="A25" s="80">
        <v>2021</v>
      </c>
      <c r="B25" s="88">
        <v>1805</v>
      </c>
      <c r="C25" s="88">
        <v>32485</v>
      </c>
      <c r="D25" s="89">
        <v>383.2</v>
      </c>
      <c r="E25" s="86">
        <v>0.7</v>
      </c>
      <c r="F25" s="60">
        <v>26.8</v>
      </c>
      <c r="G25" s="20">
        <v>61.8</v>
      </c>
    </row>
    <row r="26" spans="1:14" x14ac:dyDescent="0.2">
      <c r="A26" s="80">
        <v>2022</v>
      </c>
      <c r="B26" s="88">
        <v>1942</v>
      </c>
      <c r="C26" s="88">
        <v>32864</v>
      </c>
      <c r="D26" s="89">
        <v>657</v>
      </c>
      <c r="E26" s="60">
        <v>1.3</v>
      </c>
      <c r="F26" s="20">
        <v>28.7</v>
      </c>
      <c r="G26" s="20">
        <v>64</v>
      </c>
    </row>
    <row r="27" spans="1:14" x14ac:dyDescent="0.2">
      <c r="A27" s="80">
        <v>2023</v>
      </c>
      <c r="B27" s="88">
        <v>1996</v>
      </c>
      <c r="C27" s="88">
        <v>33215</v>
      </c>
      <c r="D27" s="89">
        <v>784.3</v>
      </c>
      <c r="E27" s="60">
        <v>1.5</v>
      </c>
      <c r="F27" s="20">
        <v>25.4</v>
      </c>
      <c r="G27" s="20">
        <v>71.099999999999994</v>
      </c>
    </row>
    <row r="28" spans="1:14" x14ac:dyDescent="0.2">
      <c r="A28" s="80">
        <v>2024</v>
      </c>
      <c r="B28" s="88" t="s">
        <v>27</v>
      </c>
      <c r="C28" s="88" t="s">
        <v>129</v>
      </c>
      <c r="D28" s="89">
        <f>642+126.5</f>
        <v>768.5</v>
      </c>
      <c r="E28" s="60">
        <f>D28/(449.2+69.4)</f>
        <v>1.4818742768993443</v>
      </c>
      <c r="F28" s="20" t="s">
        <v>127</v>
      </c>
      <c r="G28" s="20" t="s">
        <v>126</v>
      </c>
    </row>
    <row r="29" spans="1:14" s="57" customFormat="1" ht="11.25" x14ac:dyDescent="0.2">
      <c r="A29" s="42" t="s">
        <v>29</v>
      </c>
      <c r="C29" s="90"/>
      <c r="D29" s="90"/>
    </row>
    <row r="30" spans="1:14" s="57" customFormat="1" ht="11.25" x14ac:dyDescent="0.2">
      <c r="A30" s="42" t="s">
        <v>93</v>
      </c>
      <c r="C30" s="90"/>
      <c r="D30" s="90"/>
    </row>
    <row r="31" spans="1:14" s="57" customFormat="1" ht="11.25" x14ac:dyDescent="0.2">
      <c r="A31" s="42" t="s">
        <v>81</v>
      </c>
      <c r="C31" s="90"/>
      <c r="D31" s="90"/>
    </row>
    <row r="32" spans="1:14" s="57" customFormat="1" ht="11.25" x14ac:dyDescent="0.2">
      <c r="A32" s="42" t="s">
        <v>87</v>
      </c>
      <c r="C32" s="90"/>
      <c r="D32" s="90"/>
    </row>
    <row r="33" spans="1:7" x14ac:dyDescent="0.2">
      <c r="A33" s="42" t="s">
        <v>63</v>
      </c>
      <c r="B33" s="42"/>
      <c r="C33" s="42"/>
      <c r="D33" s="42"/>
      <c r="E33" s="42"/>
      <c r="F33" s="42"/>
      <c r="G33" s="42"/>
    </row>
    <row r="34" spans="1:7" x14ac:dyDescent="0.2">
      <c r="A34" s="39" t="s">
        <v>128</v>
      </c>
      <c r="B34" s="42"/>
      <c r="C34" s="42"/>
      <c r="D34" s="42"/>
      <c r="E34" s="42"/>
      <c r="F34" s="42"/>
      <c r="G34" s="42"/>
    </row>
    <row r="35" spans="1:7" x14ac:dyDescent="0.2">
      <c r="A35" s="39" t="s">
        <v>34</v>
      </c>
      <c r="B35" s="39"/>
      <c r="C35" s="39"/>
      <c r="D35" s="39"/>
      <c r="E35" s="39"/>
      <c r="F35" s="39"/>
      <c r="G35" s="39"/>
    </row>
    <row r="36" spans="1:7" x14ac:dyDescent="0.2">
      <c r="A36" s="57"/>
    </row>
  </sheetData>
  <phoneticPr fontId="2" type="noConversion"/>
  <hyperlinks>
    <hyperlink ref="A2" location="Sommaire!A1" display="Retour au menu &quot;Données internationales&quot;" xr:uid="{00000000-0004-0000-02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"/>
  <sheetViews>
    <sheetView zoomScaleNormal="100" workbookViewId="0">
      <selection activeCell="AF15" sqref="AF15"/>
    </sheetView>
  </sheetViews>
  <sheetFormatPr baseColWidth="10" defaultColWidth="11.42578125" defaultRowHeight="12" x14ac:dyDescent="0.2"/>
  <cols>
    <col min="1" max="1" width="27.85546875" style="58" customWidth="1"/>
    <col min="2" max="18" width="7.42578125" style="67" customWidth="1"/>
    <col min="19" max="19" width="8.140625" style="58" customWidth="1"/>
    <col min="20" max="21" width="7.85546875" style="58" customWidth="1"/>
    <col min="22" max="16384" width="11.42578125" style="58"/>
  </cols>
  <sheetData>
    <row r="1" spans="1:21" s="50" customFormat="1" ht="12.75" x14ac:dyDescent="0.2">
      <c r="B1" s="74"/>
      <c r="C1" s="74"/>
      <c r="D1" s="74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</row>
    <row r="2" spans="1:21" s="66" customFormat="1" ht="12.75" x14ac:dyDescent="0.2">
      <c r="A2" s="51" t="s">
        <v>18</v>
      </c>
      <c r="B2" s="75"/>
      <c r="C2" s="75"/>
      <c r="D2" s="75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21" s="50" customFormat="1" ht="12.75" x14ac:dyDescent="0.2">
      <c r="B3" s="74"/>
      <c r="C3" s="74"/>
      <c r="D3" s="74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</row>
    <row r="4" spans="1:21" s="50" customFormat="1" ht="12.75" x14ac:dyDescent="0.2">
      <c r="B4" s="74"/>
      <c r="C4" s="74"/>
      <c r="D4" s="74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</row>
    <row r="5" spans="1:21" ht="12.75" x14ac:dyDescent="0.2">
      <c r="A5" s="52" t="s">
        <v>4</v>
      </c>
      <c r="B5" s="76"/>
      <c r="C5" s="76"/>
      <c r="D5" s="76"/>
    </row>
    <row r="6" spans="1:21" ht="3" customHeight="1" x14ac:dyDescent="0.2">
      <c r="A6" s="53"/>
      <c r="B6" s="77"/>
      <c r="C6" s="77"/>
      <c r="D6" s="77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21" s="69" customFormat="1" x14ac:dyDescent="0.2">
      <c r="A7" s="54"/>
      <c r="B7" s="68">
        <v>2005</v>
      </c>
      <c r="C7" s="68">
        <v>2006</v>
      </c>
      <c r="D7" s="68">
        <v>2007</v>
      </c>
      <c r="E7" s="68">
        <v>2008</v>
      </c>
      <c r="F7" s="54">
        <v>2009</v>
      </c>
      <c r="G7" s="54">
        <v>2010</v>
      </c>
      <c r="H7" s="54">
        <v>2011</v>
      </c>
      <c r="I7" s="54">
        <v>2012</v>
      </c>
      <c r="J7" s="54">
        <v>2013</v>
      </c>
      <c r="K7" s="54">
        <v>2014</v>
      </c>
      <c r="L7" s="54">
        <v>2015</v>
      </c>
      <c r="M7" s="54">
        <v>2016</v>
      </c>
      <c r="N7" s="54">
        <v>2017</v>
      </c>
      <c r="O7" s="54">
        <v>2018</v>
      </c>
      <c r="P7" s="54">
        <v>2019</v>
      </c>
      <c r="Q7" s="54">
        <v>2020</v>
      </c>
      <c r="R7" s="54">
        <v>2021</v>
      </c>
      <c r="S7" s="54">
        <v>2022</v>
      </c>
      <c r="T7" s="54">
        <v>2023</v>
      </c>
      <c r="U7" s="54">
        <v>2024</v>
      </c>
    </row>
    <row r="8" spans="1:21" s="69" customFormat="1" ht="13.5" x14ac:dyDescent="0.2">
      <c r="A8" s="22" t="s">
        <v>25</v>
      </c>
      <c r="B8" s="23">
        <v>118</v>
      </c>
      <c r="C8" s="23">
        <v>145</v>
      </c>
      <c r="D8" s="23">
        <v>139</v>
      </c>
      <c r="E8" s="23">
        <v>151</v>
      </c>
      <c r="F8" s="23">
        <v>194</v>
      </c>
      <c r="G8" s="23">
        <v>155</v>
      </c>
      <c r="H8" s="23">
        <v>171</v>
      </c>
      <c r="I8" s="23">
        <v>200</v>
      </c>
      <c r="J8" s="23">
        <v>195</v>
      </c>
      <c r="K8" s="23">
        <v>186</v>
      </c>
      <c r="L8" s="23">
        <v>181</v>
      </c>
      <c r="M8" s="23">
        <v>199</v>
      </c>
      <c r="N8" s="23">
        <v>199</v>
      </c>
      <c r="O8" s="23">
        <v>198</v>
      </c>
      <c r="P8" s="23">
        <v>237</v>
      </c>
      <c r="Q8" s="23">
        <v>126</v>
      </c>
      <c r="R8" s="23">
        <v>147</v>
      </c>
      <c r="S8" s="23">
        <v>161</v>
      </c>
      <c r="T8" s="23">
        <v>183</v>
      </c>
      <c r="U8" s="23">
        <v>171</v>
      </c>
    </row>
    <row r="9" spans="1:21" s="69" customFormat="1" x14ac:dyDescent="0.2">
      <c r="A9" s="22" t="s">
        <v>5</v>
      </c>
      <c r="B9" s="24">
        <v>4889</v>
      </c>
      <c r="C9" s="24">
        <v>4848</v>
      </c>
      <c r="D9" s="24">
        <v>4832</v>
      </c>
      <c r="E9" s="24">
        <v>4810</v>
      </c>
      <c r="F9" s="24">
        <v>4734</v>
      </c>
      <c r="G9" s="24">
        <v>4699</v>
      </c>
      <c r="H9" s="24">
        <v>4640</v>
      </c>
      <c r="I9" s="24">
        <v>4617</v>
      </c>
      <c r="J9" s="24">
        <v>4610</v>
      </c>
      <c r="K9" s="24">
        <v>4637</v>
      </c>
      <c r="L9" s="24">
        <v>4692</v>
      </c>
      <c r="M9" s="24">
        <v>4739</v>
      </c>
      <c r="N9" s="24">
        <v>4803</v>
      </c>
      <c r="O9" s="24">
        <v>4849</v>
      </c>
      <c r="P9" s="24">
        <v>4961</v>
      </c>
      <c r="Q9" s="24">
        <v>4926</v>
      </c>
      <c r="R9" s="24">
        <v>4931</v>
      </c>
      <c r="S9" s="24">
        <v>4911</v>
      </c>
      <c r="T9" s="24">
        <v>4901</v>
      </c>
      <c r="U9" s="24">
        <v>4842</v>
      </c>
    </row>
    <row r="10" spans="1:21" x14ac:dyDescent="0.2">
      <c r="A10" s="22" t="s">
        <v>0</v>
      </c>
      <c r="B10" s="27">
        <v>127.3</v>
      </c>
      <c r="C10" s="27">
        <v>136.69999999999999</v>
      </c>
      <c r="D10" s="27">
        <v>125.4</v>
      </c>
      <c r="E10" s="27">
        <v>129.4</v>
      </c>
      <c r="F10" s="27">
        <v>146.30000000000001</v>
      </c>
      <c r="G10" s="27">
        <v>126.6</v>
      </c>
      <c r="H10" s="27">
        <v>129.6</v>
      </c>
      <c r="I10" s="27">
        <v>135.1</v>
      </c>
      <c r="J10" s="27">
        <v>129.69999999999999</v>
      </c>
      <c r="K10" s="27">
        <v>121.7</v>
      </c>
      <c r="L10" s="27">
        <v>139.19999999999999</v>
      </c>
      <c r="M10" s="27">
        <v>121.1</v>
      </c>
      <c r="N10" s="27">
        <v>122.3</v>
      </c>
      <c r="O10" s="27">
        <v>105.4</v>
      </c>
      <c r="P10" s="27">
        <v>118.6</v>
      </c>
      <c r="Q10" s="27">
        <v>38.1</v>
      </c>
      <c r="R10" s="27">
        <v>42.1</v>
      </c>
      <c r="S10" s="27">
        <v>78</v>
      </c>
      <c r="T10" s="27">
        <v>95.7</v>
      </c>
      <c r="U10" s="27">
        <v>90.1</v>
      </c>
    </row>
    <row r="11" spans="1:21" ht="13.5" x14ac:dyDescent="0.2">
      <c r="A11" s="22" t="s">
        <v>40</v>
      </c>
      <c r="B11" s="23">
        <v>1.5</v>
      </c>
      <c r="C11" s="23">
        <v>1.7</v>
      </c>
      <c r="D11" s="23">
        <v>1.5</v>
      </c>
      <c r="E11" s="23">
        <v>1.6</v>
      </c>
      <c r="F11" s="23">
        <v>1.8</v>
      </c>
      <c r="G11" s="23">
        <v>1.6</v>
      </c>
      <c r="H11" s="23">
        <v>1.6</v>
      </c>
      <c r="I11" s="23">
        <v>1.7</v>
      </c>
      <c r="J11" s="23">
        <v>1.6</v>
      </c>
      <c r="K11" s="23">
        <v>1.5</v>
      </c>
      <c r="L11" s="23">
        <v>1.7</v>
      </c>
      <c r="M11" s="23">
        <v>1.5</v>
      </c>
      <c r="N11" s="23">
        <v>1.5</v>
      </c>
      <c r="O11" s="23">
        <v>1.3</v>
      </c>
      <c r="P11" s="23">
        <v>1.4</v>
      </c>
      <c r="Q11" s="23">
        <v>0.5</v>
      </c>
      <c r="R11" s="23">
        <v>0.5</v>
      </c>
      <c r="S11" s="23">
        <v>0.9</v>
      </c>
      <c r="T11" s="23">
        <v>1.1000000000000001</v>
      </c>
      <c r="U11" s="23">
        <v>1.1000000000000001</v>
      </c>
    </row>
    <row r="12" spans="1:21" x14ac:dyDescent="0.2">
      <c r="A12" s="22" t="s">
        <v>2</v>
      </c>
      <c r="B12" s="27">
        <v>745</v>
      </c>
      <c r="C12" s="27">
        <v>814.4</v>
      </c>
      <c r="D12" s="27">
        <v>757.9</v>
      </c>
      <c r="E12" s="27">
        <v>794.7</v>
      </c>
      <c r="F12" s="27">
        <v>976.1</v>
      </c>
      <c r="G12" s="27">
        <v>920.4</v>
      </c>
      <c r="H12" s="23">
        <v>958.1</v>
      </c>
      <c r="I12" s="23" t="s">
        <v>38</v>
      </c>
      <c r="J12" s="23" t="s">
        <v>39</v>
      </c>
      <c r="K12" s="27">
        <v>979.7</v>
      </c>
      <c r="L12" s="27" t="s">
        <v>56</v>
      </c>
      <c r="M12" s="27" t="s">
        <v>39</v>
      </c>
      <c r="N12" s="27" t="s">
        <v>57</v>
      </c>
      <c r="O12" s="27">
        <v>899.3</v>
      </c>
      <c r="P12" s="27" t="s">
        <v>75</v>
      </c>
      <c r="Q12" s="27">
        <v>318</v>
      </c>
      <c r="R12" s="27">
        <v>373.2</v>
      </c>
      <c r="S12" s="27">
        <v>722</v>
      </c>
      <c r="T12" s="27">
        <v>929.1</v>
      </c>
      <c r="U12" s="27">
        <v>868.4</v>
      </c>
    </row>
    <row r="13" spans="1:21" ht="13.5" x14ac:dyDescent="0.2">
      <c r="A13" s="22" t="s">
        <v>73</v>
      </c>
      <c r="B13" s="23">
        <v>17.100000000000001</v>
      </c>
      <c r="C13" s="23">
        <v>25.8</v>
      </c>
      <c r="D13" s="23">
        <v>18.899999999999999</v>
      </c>
      <c r="E13" s="23">
        <v>26.6</v>
      </c>
      <c r="F13" s="23">
        <v>27.4</v>
      </c>
      <c r="G13" s="23">
        <v>16.8</v>
      </c>
      <c r="H13" s="23">
        <v>21.8</v>
      </c>
      <c r="I13" s="23">
        <v>18.100000000000001</v>
      </c>
      <c r="J13" s="23">
        <v>26.2</v>
      </c>
      <c r="K13" s="23">
        <v>26.7</v>
      </c>
      <c r="L13" s="23">
        <v>27.5</v>
      </c>
      <c r="M13" s="23">
        <v>22.7</v>
      </c>
      <c r="N13" s="23">
        <v>23.9</v>
      </c>
      <c r="O13" s="23">
        <v>23.5</v>
      </c>
      <c r="P13" s="23">
        <v>21.5</v>
      </c>
      <c r="Q13" s="23">
        <v>35.1</v>
      </c>
      <c r="R13" s="23">
        <v>21.7</v>
      </c>
      <c r="S13" s="27">
        <v>27</v>
      </c>
      <c r="T13" s="27">
        <v>24.3</v>
      </c>
      <c r="U13" s="27">
        <v>20.6</v>
      </c>
    </row>
    <row r="14" spans="1:21" ht="13.5" x14ac:dyDescent="0.2">
      <c r="A14" s="22" t="s">
        <v>41</v>
      </c>
      <c r="B14" s="23">
        <v>68.400000000000006</v>
      </c>
      <c r="C14" s="23">
        <v>65.8</v>
      </c>
      <c r="D14" s="23">
        <v>69.3</v>
      </c>
      <c r="E14" s="23">
        <v>58.7</v>
      </c>
      <c r="F14" s="23">
        <v>64.5</v>
      </c>
      <c r="G14" s="23">
        <v>66.3</v>
      </c>
      <c r="H14" s="23">
        <v>60.1</v>
      </c>
      <c r="I14" s="23">
        <v>60.8</v>
      </c>
      <c r="J14" s="23">
        <v>65.400000000000006</v>
      </c>
      <c r="K14" s="23">
        <v>62.6</v>
      </c>
      <c r="L14" s="23">
        <v>54.5</v>
      </c>
      <c r="M14" s="23">
        <v>64.5</v>
      </c>
      <c r="N14" s="23">
        <v>63.6</v>
      </c>
      <c r="O14" s="23">
        <v>61.8</v>
      </c>
      <c r="P14" s="23">
        <v>56.5</v>
      </c>
      <c r="Q14" s="23">
        <v>45.7</v>
      </c>
      <c r="R14" s="23">
        <v>54.7</v>
      </c>
      <c r="S14" s="23">
        <v>64.099999999999994</v>
      </c>
      <c r="T14" s="23">
        <v>64.3</v>
      </c>
      <c r="U14" s="23">
        <v>61.7</v>
      </c>
    </row>
    <row r="15" spans="1:21" ht="13.5" x14ac:dyDescent="0.2">
      <c r="A15" s="22" t="s">
        <v>42</v>
      </c>
      <c r="B15" s="23">
        <v>20.7</v>
      </c>
      <c r="C15" s="23">
        <v>13.1</v>
      </c>
      <c r="D15" s="23">
        <v>19.7</v>
      </c>
      <c r="E15" s="23">
        <v>15.8</v>
      </c>
      <c r="F15" s="23">
        <v>12.5</v>
      </c>
      <c r="G15" s="23">
        <v>14.3</v>
      </c>
      <c r="H15" s="23">
        <v>15.6</v>
      </c>
      <c r="I15" s="23">
        <v>19.8</v>
      </c>
      <c r="J15" s="23">
        <v>6.1</v>
      </c>
      <c r="K15" s="23">
        <v>11.7</v>
      </c>
      <c r="L15" s="23">
        <v>15.7</v>
      </c>
      <c r="M15" s="23">
        <v>11.5</v>
      </c>
      <c r="N15" s="23">
        <v>11.2</v>
      </c>
      <c r="O15" s="23">
        <v>13</v>
      </c>
      <c r="P15" s="23">
        <v>17.600000000000001</v>
      </c>
      <c r="Q15" s="23">
        <v>11.3</v>
      </c>
      <c r="R15" s="23">
        <v>3.8</v>
      </c>
      <c r="S15" s="23">
        <v>4.5999999999999996</v>
      </c>
      <c r="T15" s="23">
        <v>7.3</v>
      </c>
      <c r="U15" s="23">
        <v>9.4</v>
      </c>
    </row>
    <row r="16" spans="1:21" ht="13.5" x14ac:dyDescent="0.2">
      <c r="A16" s="25" t="s">
        <v>43</v>
      </c>
      <c r="B16" s="26">
        <v>3.1</v>
      </c>
      <c r="C16" s="26">
        <v>1.6</v>
      </c>
      <c r="D16" s="26">
        <v>3.6</v>
      </c>
      <c r="E16" s="26">
        <v>2.7</v>
      </c>
      <c r="F16" s="26">
        <v>3.4</v>
      </c>
      <c r="G16" s="26">
        <v>2.9</v>
      </c>
      <c r="H16" s="26">
        <v>4.9000000000000004</v>
      </c>
      <c r="I16" s="26">
        <v>11.1</v>
      </c>
      <c r="J16" s="26">
        <v>3.2</v>
      </c>
      <c r="K16" s="26">
        <v>7.2</v>
      </c>
      <c r="L16" s="26">
        <v>3.4</v>
      </c>
      <c r="M16" s="26">
        <v>2.9</v>
      </c>
      <c r="N16" s="26">
        <v>4.0999999999999996</v>
      </c>
      <c r="O16" s="26">
        <v>2.9</v>
      </c>
      <c r="P16" s="26">
        <v>3.5</v>
      </c>
      <c r="Q16" s="96">
        <v>3</v>
      </c>
      <c r="R16" s="96">
        <v>2</v>
      </c>
      <c r="S16" s="96">
        <v>3.9</v>
      </c>
      <c r="T16" s="26">
        <v>4.9000000000000004</v>
      </c>
      <c r="U16" s="26" t="s">
        <v>27</v>
      </c>
    </row>
    <row r="17" spans="1:18" x14ac:dyDescent="0.2">
      <c r="A17" s="39" t="s">
        <v>86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42" t="s">
        <v>94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</row>
    <row r="19" spans="1:18" x14ac:dyDescent="0.2">
      <c r="A19" s="57" t="s">
        <v>95</v>
      </c>
      <c r="B19" s="78"/>
      <c r="C19" s="78"/>
      <c r="D19" s="78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</row>
    <row r="20" spans="1:18" ht="13.5" customHeight="1" x14ac:dyDescent="0.2">
      <c r="A20" s="39" t="s">
        <v>58</v>
      </c>
    </row>
    <row r="21" spans="1:18" x14ac:dyDescent="0.2">
      <c r="A21" s="57"/>
    </row>
  </sheetData>
  <phoneticPr fontId="2" type="noConversion"/>
  <hyperlinks>
    <hyperlink ref="A2" location="Sommaire!A1" display="Retour au menu &quot;Données internationales&quot;" xr:uid="{00000000-0004-0000-03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/>
  </sheetViews>
  <sheetFormatPr baseColWidth="10" defaultColWidth="11.42578125" defaultRowHeight="12" x14ac:dyDescent="0.2"/>
  <cols>
    <col min="1" max="1" width="22.7109375" style="58" customWidth="1"/>
    <col min="2" max="4" width="6.7109375" style="67" customWidth="1"/>
    <col min="5" max="18" width="6.7109375" style="58" customWidth="1"/>
    <col min="19" max="20" width="6.85546875" style="58" customWidth="1"/>
    <col min="21" max="21" width="7.5703125" style="58" customWidth="1"/>
    <col min="22" max="16384" width="11.42578125" style="58"/>
  </cols>
  <sheetData>
    <row r="1" spans="1:21" s="50" customFormat="1" ht="12.75" x14ac:dyDescent="0.2">
      <c r="B1" s="62"/>
      <c r="C1" s="62"/>
      <c r="D1" s="62"/>
      <c r="E1" s="63"/>
      <c r="F1" s="63"/>
      <c r="G1" s="63"/>
      <c r="H1" s="63"/>
    </row>
    <row r="2" spans="1:21" s="66" customFormat="1" ht="12.75" x14ac:dyDescent="0.2">
      <c r="A2" s="51" t="s">
        <v>18</v>
      </c>
      <c r="B2" s="64"/>
      <c r="C2" s="64"/>
      <c r="D2" s="64"/>
      <c r="E2" s="65"/>
      <c r="F2" s="65"/>
      <c r="G2" s="65"/>
      <c r="H2" s="65"/>
    </row>
    <row r="3" spans="1:21" s="50" customFormat="1" ht="12.75" x14ac:dyDescent="0.2">
      <c r="B3" s="62"/>
      <c r="C3" s="62"/>
      <c r="D3" s="62"/>
      <c r="E3" s="63"/>
      <c r="F3" s="63"/>
      <c r="G3" s="63"/>
      <c r="H3" s="63"/>
    </row>
    <row r="4" spans="1:21" s="50" customFormat="1" ht="12.75" x14ac:dyDescent="0.2">
      <c r="B4" s="62"/>
      <c r="C4" s="62"/>
      <c r="D4" s="62"/>
      <c r="E4" s="63"/>
      <c r="F4" s="63"/>
      <c r="G4" s="63"/>
      <c r="H4" s="63"/>
    </row>
    <row r="5" spans="1:21" ht="12.75" customHeight="1" x14ac:dyDescent="0.2">
      <c r="A5" s="52" t="s">
        <v>6</v>
      </c>
    </row>
    <row r="6" spans="1:21" ht="3" customHeight="1" x14ac:dyDescent="0.2">
      <c r="A6" s="53"/>
      <c r="B6" s="20"/>
      <c r="C6" s="20"/>
      <c r="D6" s="20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21" s="69" customFormat="1" x14ac:dyDescent="0.2">
      <c r="A7" s="54"/>
      <c r="B7" s="68">
        <v>2005</v>
      </c>
      <c r="C7" s="68">
        <v>2006</v>
      </c>
      <c r="D7" s="68">
        <v>2007</v>
      </c>
      <c r="E7" s="68">
        <v>2008</v>
      </c>
      <c r="F7" s="68">
        <v>2009</v>
      </c>
      <c r="G7" s="68">
        <v>2010</v>
      </c>
      <c r="H7" s="68">
        <v>2011</v>
      </c>
      <c r="I7" s="68">
        <v>2012</v>
      </c>
      <c r="J7" s="68">
        <v>2013</v>
      </c>
      <c r="K7" s="68">
        <v>2014</v>
      </c>
      <c r="L7" s="54">
        <v>2015</v>
      </c>
      <c r="M7" s="54">
        <v>2016</v>
      </c>
      <c r="N7" s="54">
        <v>2017</v>
      </c>
      <c r="O7" s="54">
        <v>2018</v>
      </c>
      <c r="P7" s="54">
        <v>2019</v>
      </c>
      <c r="Q7" s="68">
        <v>2020</v>
      </c>
      <c r="R7" s="68">
        <v>2021</v>
      </c>
      <c r="S7" s="68">
        <v>2022</v>
      </c>
      <c r="T7" s="68">
        <v>2023</v>
      </c>
      <c r="U7" s="68">
        <v>2024</v>
      </c>
    </row>
    <row r="8" spans="1:21" s="69" customFormat="1" ht="13.5" x14ac:dyDescent="0.2">
      <c r="A8" s="22" t="s">
        <v>25</v>
      </c>
      <c r="B8" s="23">
        <v>142</v>
      </c>
      <c r="C8" s="23">
        <v>150</v>
      </c>
      <c r="D8" s="23">
        <v>172</v>
      </c>
      <c r="E8" s="23">
        <v>173</v>
      </c>
      <c r="F8" s="23">
        <v>157</v>
      </c>
      <c r="G8" s="23">
        <v>185</v>
      </c>
      <c r="H8" s="23">
        <v>181</v>
      </c>
      <c r="I8" s="23">
        <v>157</v>
      </c>
      <c r="J8" s="23">
        <v>207</v>
      </c>
      <c r="K8" s="23">
        <v>203</v>
      </c>
      <c r="L8" s="23">
        <v>234</v>
      </c>
      <c r="M8" s="23">
        <v>241</v>
      </c>
      <c r="N8" s="23">
        <v>257</v>
      </c>
      <c r="O8" s="23">
        <v>249</v>
      </c>
      <c r="P8" s="23">
        <v>243</v>
      </c>
      <c r="Q8" s="23">
        <v>222</v>
      </c>
      <c r="R8" s="23">
        <v>273</v>
      </c>
      <c r="S8" s="23">
        <v>271</v>
      </c>
      <c r="T8" s="23">
        <v>368</v>
      </c>
      <c r="U8" s="23" t="s">
        <v>27</v>
      </c>
    </row>
    <row r="9" spans="1:21" s="69" customFormat="1" x14ac:dyDescent="0.2">
      <c r="A9" s="22" t="s">
        <v>5</v>
      </c>
      <c r="B9" s="24">
        <v>4383</v>
      </c>
      <c r="C9" s="24">
        <v>4299</v>
      </c>
      <c r="D9" s="24">
        <v>4296</v>
      </c>
      <c r="E9" s="24">
        <v>4140</v>
      </c>
      <c r="F9" s="24">
        <v>4082</v>
      </c>
      <c r="G9" s="24">
        <v>4080</v>
      </c>
      <c r="H9" s="24">
        <v>4044</v>
      </c>
      <c r="I9" s="23" t="s">
        <v>44</v>
      </c>
      <c r="J9" s="24">
        <v>3908</v>
      </c>
      <c r="K9" s="24">
        <v>3700</v>
      </c>
      <c r="L9" s="24">
        <v>3588</v>
      </c>
      <c r="M9" s="24">
        <v>3554</v>
      </c>
      <c r="N9" s="24">
        <v>3618</v>
      </c>
      <c r="O9" s="24">
        <v>3589</v>
      </c>
      <c r="P9" s="24">
        <v>3695</v>
      </c>
      <c r="Q9" s="24">
        <v>3701</v>
      </c>
      <c r="R9" s="24">
        <v>3631</v>
      </c>
      <c r="S9" s="24">
        <v>3650</v>
      </c>
      <c r="T9" s="24">
        <v>3609</v>
      </c>
      <c r="U9" s="24">
        <v>3565</v>
      </c>
    </row>
    <row r="10" spans="1:21" x14ac:dyDescent="0.2">
      <c r="A10" s="22" t="s">
        <v>0</v>
      </c>
      <c r="B10" s="27">
        <v>127.6</v>
      </c>
      <c r="C10" s="27">
        <v>121.6</v>
      </c>
      <c r="D10" s="27">
        <v>116.9</v>
      </c>
      <c r="E10" s="27">
        <v>107.8</v>
      </c>
      <c r="F10" s="27">
        <v>110</v>
      </c>
      <c r="G10" s="27">
        <v>101.6</v>
      </c>
      <c r="H10" s="27">
        <v>98.3</v>
      </c>
      <c r="I10" s="27">
        <v>94.2</v>
      </c>
      <c r="J10" s="27">
        <v>78.7</v>
      </c>
      <c r="K10" s="27">
        <v>88</v>
      </c>
      <c r="L10" s="27">
        <v>96.1</v>
      </c>
      <c r="M10" s="27">
        <v>101.8</v>
      </c>
      <c r="N10" s="27">
        <v>99.8</v>
      </c>
      <c r="O10" s="27">
        <v>98.9</v>
      </c>
      <c r="P10" s="27">
        <v>104.9</v>
      </c>
      <c r="Q10" s="27">
        <v>27</v>
      </c>
      <c r="R10" s="27">
        <v>41.4</v>
      </c>
      <c r="S10" s="27">
        <v>61.1</v>
      </c>
      <c r="T10" s="27">
        <v>76.7</v>
      </c>
      <c r="U10" s="27">
        <v>72.3</v>
      </c>
    </row>
    <row r="11" spans="1:21" ht="13.5" x14ac:dyDescent="0.2">
      <c r="A11" s="22" t="s">
        <v>40</v>
      </c>
      <c r="B11" s="27">
        <v>2.9</v>
      </c>
      <c r="C11" s="27">
        <v>2.8</v>
      </c>
      <c r="D11" s="27">
        <v>2.6</v>
      </c>
      <c r="E11" s="27">
        <v>2.4</v>
      </c>
      <c r="F11" s="27">
        <v>2.4</v>
      </c>
      <c r="G11" s="27">
        <v>2.2000000000000002</v>
      </c>
      <c r="H11" s="27">
        <v>2.1</v>
      </c>
      <c r="I11" s="27">
        <v>2</v>
      </c>
      <c r="J11" s="27">
        <v>1.6</v>
      </c>
      <c r="K11" s="27">
        <v>1.9</v>
      </c>
      <c r="L11" s="27">
        <v>2.1</v>
      </c>
      <c r="M11" s="27">
        <v>2.2000000000000002</v>
      </c>
      <c r="N11" s="27">
        <v>2.2000000000000002</v>
      </c>
      <c r="O11" s="27">
        <v>2.1</v>
      </c>
      <c r="P11" s="27">
        <v>2.2000000000000002</v>
      </c>
      <c r="Q11" s="27">
        <v>0.5</v>
      </c>
      <c r="R11" s="27">
        <v>0.9</v>
      </c>
      <c r="S11" s="27">
        <v>1.2</v>
      </c>
      <c r="T11" s="27">
        <v>1.6</v>
      </c>
      <c r="U11" s="27">
        <v>1.5</v>
      </c>
    </row>
    <row r="12" spans="1:21" x14ac:dyDescent="0.2">
      <c r="A12" s="22" t="s">
        <v>2</v>
      </c>
      <c r="B12" s="27">
        <v>635</v>
      </c>
      <c r="C12" s="27">
        <v>636.20000000000005</v>
      </c>
      <c r="D12" s="27">
        <v>643.70000000000005</v>
      </c>
      <c r="E12" s="27">
        <v>619.29999999999995</v>
      </c>
      <c r="F12" s="27">
        <v>671</v>
      </c>
      <c r="G12" s="27">
        <v>662.3</v>
      </c>
      <c r="H12" s="27">
        <v>635.79999999999995</v>
      </c>
      <c r="I12" s="27">
        <v>614.20000000000005</v>
      </c>
      <c r="J12" s="27">
        <v>506.3</v>
      </c>
      <c r="K12" s="27">
        <v>518.20000000000005</v>
      </c>
      <c r="L12" s="27">
        <v>575.20000000000005</v>
      </c>
      <c r="M12" s="27">
        <v>602</v>
      </c>
      <c r="N12" s="27">
        <v>591.29999999999995</v>
      </c>
      <c r="O12" s="27">
        <v>585.70000000000005</v>
      </c>
      <c r="P12" s="27">
        <v>614.70000000000005</v>
      </c>
      <c r="Q12" s="27">
        <v>161</v>
      </c>
      <c r="R12" s="27">
        <v>250.2</v>
      </c>
      <c r="S12" s="27">
        <v>379.7</v>
      </c>
      <c r="T12" s="27">
        <v>493.5</v>
      </c>
      <c r="U12" s="27">
        <v>480.7</v>
      </c>
    </row>
    <row r="13" spans="1:21" ht="13.5" x14ac:dyDescent="0.2">
      <c r="A13" s="22" t="s">
        <v>73</v>
      </c>
      <c r="B13" s="23">
        <v>12.3</v>
      </c>
      <c r="C13" s="23">
        <v>16.7</v>
      </c>
      <c r="D13" s="23">
        <v>15.5</v>
      </c>
      <c r="E13" s="23">
        <v>13.5</v>
      </c>
      <c r="F13" s="23">
        <v>13.2</v>
      </c>
      <c r="G13" s="23">
        <v>12.7</v>
      </c>
      <c r="H13" s="23">
        <v>15.8</v>
      </c>
      <c r="I13" s="27">
        <v>19.399999999999999</v>
      </c>
      <c r="J13" s="23">
        <v>14</v>
      </c>
      <c r="K13" s="23">
        <v>25.5</v>
      </c>
      <c r="L13" s="23">
        <v>19.3</v>
      </c>
      <c r="M13" s="23">
        <v>18.5</v>
      </c>
      <c r="N13" s="23">
        <v>17.399999999999999</v>
      </c>
      <c r="O13" s="23">
        <v>17.600000000000001</v>
      </c>
      <c r="P13" s="23">
        <v>15.1</v>
      </c>
      <c r="Q13" s="23">
        <v>24.5</v>
      </c>
      <c r="R13" s="27">
        <v>16</v>
      </c>
      <c r="S13" s="23">
        <v>21.1</v>
      </c>
      <c r="T13" s="23">
        <v>17.5</v>
      </c>
      <c r="U13" s="23">
        <v>18.7</v>
      </c>
    </row>
    <row r="14" spans="1:21" ht="13.5" x14ac:dyDescent="0.2">
      <c r="A14" s="22" t="s">
        <v>41</v>
      </c>
      <c r="B14" s="23">
        <v>60.1</v>
      </c>
      <c r="C14" s="23">
        <v>71.2</v>
      </c>
      <c r="D14" s="23">
        <v>67.599999999999994</v>
      </c>
      <c r="E14" s="23">
        <v>71.7</v>
      </c>
      <c r="F14" s="23">
        <v>70.8</v>
      </c>
      <c r="G14" s="23">
        <v>69.2</v>
      </c>
      <c r="H14" s="27">
        <v>69.099999999999994</v>
      </c>
      <c r="I14" s="23">
        <v>59.7</v>
      </c>
      <c r="J14" s="23">
        <v>69.599999999999994</v>
      </c>
      <c r="K14" s="23">
        <v>55.6</v>
      </c>
      <c r="L14" s="23">
        <v>62</v>
      </c>
      <c r="M14" s="23">
        <v>68.099999999999994</v>
      </c>
      <c r="N14" s="23">
        <v>67.400000000000006</v>
      </c>
      <c r="O14" s="23">
        <v>64.099999999999994</v>
      </c>
      <c r="P14" s="23">
        <v>73.5</v>
      </c>
      <c r="Q14" s="23">
        <v>40.299999999999997</v>
      </c>
      <c r="R14" s="23">
        <v>60.5</v>
      </c>
      <c r="S14" s="23">
        <v>56.6</v>
      </c>
      <c r="T14" s="23">
        <v>59.9</v>
      </c>
      <c r="U14" s="23" t="s">
        <v>27</v>
      </c>
    </row>
    <row r="15" spans="1:21" ht="13.5" x14ac:dyDescent="0.2">
      <c r="A15" s="22" t="s">
        <v>42</v>
      </c>
      <c r="B15" s="23">
        <v>18.899999999999999</v>
      </c>
      <c r="C15" s="23">
        <v>12.8</v>
      </c>
      <c r="D15" s="23">
        <v>15.4</v>
      </c>
      <c r="E15" s="23">
        <v>10.9</v>
      </c>
      <c r="F15" s="23">
        <v>12.2</v>
      </c>
      <c r="G15" s="23">
        <v>17.399999999999999</v>
      </c>
      <c r="H15" s="23">
        <v>13.2</v>
      </c>
      <c r="I15" s="23">
        <v>17.600000000000001</v>
      </c>
      <c r="J15" s="23">
        <v>10</v>
      </c>
      <c r="K15" s="23">
        <v>14.1</v>
      </c>
      <c r="L15" s="23">
        <v>15.9</v>
      </c>
      <c r="M15" s="23">
        <v>12.1</v>
      </c>
      <c r="N15" s="23">
        <v>13.5</v>
      </c>
      <c r="O15" s="23">
        <v>15</v>
      </c>
      <c r="P15" s="23">
        <v>9.9</v>
      </c>
      <c r="Q15" s="23">
        <v>15.6</v>
      </c>
      <c r="R15" s="23">
        <v>4.3</v>
      </c>
      <c r="S15" s="23">
        <v>25.7</v>
      </c>
      <c r="T15" s="23">
        <v>16.600000000000001</v>
      </c>
      <c r="U15" s="23" t="s">
        <v>27</v>
      </c>
    </row>
    <row r="16" spans="1:21" ht="13.5" x14ac:dyDescent="0.2">
      <c r="A16" s="22" t="s">
        <v>43</v>
      </c>
      <c r="B16" s="23">
        <v>3.9</v>
      </c>
      <c r="C16" s="23">
        <v>2.2000000000000002</v>
      </c>
      <c r="D16" s="23">
        <v>1.8</v>
      </c>
      <c r="E16" s="23">
        <v>2.1</v>
      </c>
      <c r="F16" s="27">
        <v>3</v>
      </c>
      <c r="G16" s="27">
        <v>3</v>
      </c>
      <c r="H16" s="27">
        <v>2.2000000000000002</v>
      </c>
      <c r="I16" s="27">
        <v>6.7</v>
      </c>
      <c r="J16" s="27">
        <v>1.2</v>
      </c>
      <c r="K16" s="27">
        <v>4.0999999999999996</v>
      </c>
      <c r="L16" s="27">
        <v>3.8</v>
      </c>
      <c r="M16" s="27">
        <v>2.2000000000000002</v>
      </c>
      <c r="N16" s="27">
        <v>4.3</v>
      </c>
      <c r="O16" s="27">
        <v>3</v>
      </c>
      <c r="P16" s="27">
        <v>3.4</v>
      </c>
      <c r="Q16" s="27">
        <v>5.7</v>
      </c>
      <c r="R16" s="27">
        <v>2.8</v>
      </c>
      <c r="S16" s="27">
        <v>2.2000000000000002</v>
      </c>
      <c r="T16" s="27">
        <v>2.6</v>
      </c>
      <c r="U16" s="27" t="s">
        <v>27</v>
      </c>
    </row>
    <row r="17" spans="1:5" ht="13.5" customHeight="1" x14ac:dyDescent="0.2">
      <c r="A17" s="42" t="s">
        <v>96</v>
      </c>
      <c r="B17" s="70"/>
      <c r="C17" s="71"/>
      <c r="D17" s="71"/>
      <c r="E17" s="71"/>
    </row>
    <row r="18" spans="1:5" x14ac:dyDescent="0.2">
      <c r="A18" s="72" t="s">
        <v>94</v>
      </c>
      <c r="B18" s="70"/>
      <c r="C18" s="71"/>
      <c r="D18" s="71"/>
      <c r="E18" s="71"/>
    </row>
    <row r="19" spans="1:5" s="57" customFormat="1" ht="11.25" x14ac:dyDescent="0.2">
      <c r="A19" s="28" t="s">
        <v>52</v>
      </c>
      <c r="B19" s="73"/>
      <c r="C19" s="73"/>
      <c r="D19" s="73"/>
    </row>
    <row r="20" spans="1:5" x14ac:dyDescent="0.2">
      <c r="A20" s="61" t="s">
        <v>85</v>
      </c>
    </row>
    <row r="21" spans="1:5" x14ac:dyDescent="0.2">
      <c r="A21" s="57"/>
    </row>
  </sheetData>
  <phoneticPr fontId="2" type="noConversion"/>
  <hyperlinks>
    <hyperlink ref="A2" location="Sommaire!A1" display="Retour au menu &quot;Données internationales&quot;" xr:uid="{00000000-0004-0000-04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workbookViewId="0"/>
  </sheetViews>
  <sheetFormatPr baseColWidth="10" defaultColWidth="11.42578125" defaultRowHeight="12" x14ac:dyDescent="0.2"/>
  <cols>
    <col min="1" max="1" width="29.140625" style="58" customWidth="1"/>
    <col min="2" max="18" width="7" style="58" customWidth="1"/>
    <col min="19" max="19" width="6.5703125" style="58" customWidth="1"/>
    <col min="20" max="20" width="6.28515625" style="58" customWidth="1"/>
    <col min="21" max="21" width="6.42578125" style="58" customWidth="1"/>
    <col min="22" max="16384" width="11.42578125" style="58"/>
  </cols>
  <sheetData>
    <row r="1" spans="1:21" s="50" customFormat="1" ht="12.75" x14ac:dyDescent="0.2">
      <c r="B1" s="63"/>
      <c r="C1" s="63"/>
      <c r="D1" s="63"/>
      <c r="E1" s="63"/>
      <c r="F1" s="63"/>
      <c r="G1" s="63"/>
      <c r="H1" s="63"/>
    </row>
    <row r="2" spans="1:21" s="66" customFormat="1" ht="12.75" x14ac:dyDescent="0.2">
      <c r="A2" s="51" t="s">
        <v>18</v>
      </c>
      <c r="B2" s="65"/>
      <c r="C2" s="65"/>
      <c r="D2" s="65"/>
      <c r="E2" s="65"/>
      <c r="F2" s="65"/>
      <c r="G2" s="65"/>
      <c r="H2" s="65"/>
    </row>
    <row r="3" spans="1:21" s="50" customFormat="1" ht="12.75" x14ac:dyDescent="0.2">
      <c r="B3" s="63"/>
      <c r="C3" s="63"/>
      <c r="D3" s="63"/>
      <c r="E3" s="63"/>
      <c r="F3" s="63"/>
      <c r="G3" s="63"/>
      <c r="H3" s="63"/>
    </row>
    <row r="4" spans="1:21" s="50" customFormat="1" ht="12.75" x14ac:dyDescent="0.2">
      <c r="B4" s="63"/>
      <c r="C4" s="63"/>
      <c r="D4" s="63"/>
      <c r="E4" s="63"/>
      <c r="F4" s="63"/>
      <c r="G4" s="63"/>
      <c r="H4" s="63"/>
    </row>
    <row r="5" spans="1:21" ht="12.75" x14ac:dyDescent="0.2">
      <c r="A5" s="52" t="s">
        <v>7</v>
      </c>
    </row>
    <row r="6" spans="1:21" ht="3" customHeight="1" x14ac:dyDescent="0.2">
      <c r="A6" s="53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21" s="69" customFormat="1" x14ac:dyDescent="0.2">
      <c r="A7" s="54"/>
      <c r="B7" s="68">
        <v>2005</v>
      </c>
      <c r="C7" s="68">
        <v>2006</v>
      </c>
      <c r="D7" s="68">
        <v>2007</v>
      </c>
      <c r="E7" s="68">
        <v>2008</v>
      </c>
      <c r="F7" s="68">
        <v>2009</v>
      </c>
      <c r="G7" s="68">
        <v>2010</v>
      </c>
      <c r="H7" s="54">
        <v>2011</v>
      </c>
      <c r="I7" s="68">
        <v>2012</v>
      </c>
      <c r="J7" s="54">
        <v>2013</v>
      </c>
      <c r="K7" s="68">
        <v>2014</v>
      </c>
      <c r="L7" s="54">
        <v>2015</v>
      </c>
      <c r="M7" s="54">
        <v>2016</v>
      </c>
      <c r="N7" s="54">
        <v>2017</v>
      </c>
      <c r="O7" s="54">
        <v>2018</v>
      </c>
      <c r="P7" s="54">
        <v>2019</v>
      </c>
      <c r="Q7" s="68">
        <v>2020</v>
      </c>
      <c r="R7" s="68">
        <v>2021</v>
      </c>
      <c r="S7" s="68">
        <v>2022</v>
      </c>
      <c r="T7" s="68">
        <v>2023</v>
      </c>
      <c r="U7" s="68">
        <v>2024</v>
      </c>
    </row>
    <row r="8" spans="1:21" ht="13.5" x14ac:dyDescent="0.2">
      <c r="A8" s="22" t="s">
        <v>25</v>
      </c>
      <c r="B8" s="23">
        <v>98</v>
      </c>
      <c r="C8" s="23">
        <v>116</v>
      </c>
      <c r="D8" s="23">
        <v>121</v>
      </c>
      <c r="E8" s="23">
        <v>154</v>
      </c>
      <c r="F8" s="23">
        <v>114</v>
      </c>
      <c r="G8" s="23">
        <v>129</v>
      </c>
      <c r="H8" s="23">
        <v>146</v>
      </c>
      <c r="I8" s="23">
        <v>150</v>
      </c>
      <c r="J8" s="23">
        <v>156</v>
      </c>
      <c r="K8" s="23">
        <v>140</v>
      </c>
      <c r="L8" s="23">
        <v>135</v>
      </c>
      <c r="M8" s="23">
        <v>155</v>
      </c>
      <c r="N8" s="23">
        <v>166</v>
      </c>
      <c r="O8" s="23">
        <v>176</v>
      </c>
      <c r="P8" s="23">
        <v>234</v>
      </c>
      <c r="Q8" s="23">
        <v>194</v>
      </c>
      <c r="R8" s="23">
        <v>266</v>
      </c>
      <c r="S8" s="23">
        <v>294</v>
      </c>
      <c r="T8" s="23">
        <v>262</v>
      </c>
      <c r="U8" s="23" t="s">
        <v>27</v>
      </c>
    </row>
    <row r="9" spans="1:21" x14ac:dyDescent="0.2">
      <c r="A9" s="22" t="s">
        <v>5</v>
      </c>
      <c r="B9" s="24">
        <v>3280</v>
      </c>
      <c r="C9" s="24">
        <v>3062</v>
      </c>
      <c r="D9" s="24">
        <v>3092</v>
      </c>
      <c r="E9" s="24">
        <v>3141</v>
      </c>
      <c r="F9" s="24">
        <v>5467</v>
      </c>
      <c r="G9" s="24">
        <v>5435</v>
      </c>
      <c r="H9" s="24">
        <v>5393</v>
      </c>
      <c r="I9" s="24">
        <v>5197</v>
      </c>
      <c r="J9" s="24">
        <v>5132</v>
      </c>
      <c r="K9" s="24">
        <v>5094</v>
      </c>
      <c r="L9" s="24">
        <v>5053</v>
      </c>
      <c r="M9" s="24">
        <v>5104</v>
      </c>
      <c r="N9" s="24">
        <v>5315</v>
      </c>
      <c r="O9" s="24">
        <v>5205</v>
      </c>
      <c r="P9" s="24">
        <v>5385</v>
      </c>
      <c r="Q9" s="24">
        <v>5325</v>
      </c>
      <c r="R9" s="24">
        <v>4831</v>
      </c>
      <c r="S9" s="24">
        <v>5239</v>
      </c>
      <c r="T9" s="24">
        <v>4961</v>
      </c>
      <c r="U9" s="24" t="s">
        <v>27</v>
      </c>
    </row>
    <row r="10" spans="1:21" x14ac:dyDescent="0.2">
      <c r="A10" s="22" t="s">
        <v>0</v>
      </c>
      <c r="B10" s="27">
        <v>105.6</v>
      </c>
      <c r="C10" s="27">
        <v>106.1</v>
      </c>
      <c r="D10" s="27">
        <v>116.4</v>
      </c>
      <c r="E10" s="27">
        <v>111.6</v>
      </c>
      <c r="F10" s="27">
        <v>111.2</v>
      </c>
      <c r="G10" s="27">
        <v>120.6</v>
      </c>
      <c r="H10" s="27">
        <v>101.3</v>
      </c>
      <c r="I10" s="27">
        <v>100.1</v>
      </c>
      <c r="J10" s="27">
        <v>106.7</v>
      </c>
      <c r="K10" s="27">
        <v>98.3</v>
      </c>
      <c r="L10" s="27">
        <v>106.7</v>
      </c>
      <c r="M10" s="27">
        <v>113.8</v>
      </c>
      <c r="N10" s="27">
        <v>99.6</v>
      </c>
      <c r="O10" s="27">
        <v>91.7</v>
      </c>
      <c r="P10" s="27">
        <v>104.4</v>
      </c>
      <c r="Q10" s="27">
        <v>30.3</v>
      </c>
      <c r="R10" s="27">
        <v>26.8</v>
      </c>
      <c r="S10" s="27">
        <v>47.9</v>
      </c>
      <c r="T10" s="27">
        <v>70.599999999999994</v>
      </c>
      <c r="U10" s="27">
        <v>69.7</v>
      </c>
    </row>
    <row r="11" spans="1:21" ht="13.5" x14ac:dyDescent="0.2">
      <c r="A11" s="22" t="s">
        <v>40</v>
      </c>
      <c r="B11" s="23">
        <v>1.9</v>
      </c>
      <c r="C11" s="23">
        <v>1.8</v>
      </c>
      <c r="D11" s="23">
        <v>1.9</v>
      </c>
      <c r="E11" s="23">
        <v>1.9</v>
      </c>
      <c r="F11" s="23">
        <v>1.9</v>
      </c>
      <c r="G11" s="27">
        <v>2</v>
      </c>
      <c r="H11" s="23">
        <v>1.8</v>
      </c>
      <c r="I11" s="23">
        <v>1.7</v>
      </c>
      <c r="J11" s="23">
        <v>1.7</v>
      </c>
      <c r="K11" s="23">
        <v>1.5</v>
      </c>
      <c r="L11" s="23">
        <v>1.7</v>
      </c>
      <c r="M11" s="23">
        <v>1.9</v>
      </c>
      <c r="N11" s="23">
        <v>1.6</v>
      </c>
      <c r="O11" s="23">
        <v>1.5</v>
      </c>
      <c r="P11" s="23">
        <v>1.7</v>
      </c>
      <c r="Q11" s="23">
        <v>0.5</v>
      </c>
      <c r="R11" s="23">
        <v>0.4</v>
      </c>
      <c r="S11" s="23">
        <v>0.8</v>
      </c>
      <c r="T11" s="23">
        <v>1.2</v>
      </c>
      <c r="U11" s="23">
        <v>1.2</v>
      </c>
    </row>
    <row r="12" spans="1:21" x14ac:dyDescent="0.2">
      <c r="A12" s="22" t="s">
        <v>2</v>
      </c>
      <c r="B12" s="27">
        <v>602</v>
      </c>
      <c r="C12" s="27">
        <v>606.70000000000005</v>
      </c>
      <c r="D12" s="27">
        <v>669.9</v>
      </c>
      <c r="E12" s="27">
        <v>645</v>
      </c>
      <c r="F12" s="27">
        <v>676.1</v>
      </c>
      <c r="G12" s="27">
        <v>772.8</v>
      </c>
      <c r="H12" s="27">
        <v>661.7</v>
      </c>
      <c r="I12" s="27">
        <v>637.1</v>
      </c>
      <c r="J12" s="27">
        <v>646.29999999999995</v>
      </c>
      <c r="K12" s="27">
        <v>600.1</v>
      </c>
      <c r="L12" s="27">
        <v>664.3</v>
      </c>
      <c r="M12" s="27">
        <v>695.1</v>
      </c>
      <c r="N12" s="27">
        <v>619.4</v>
      </c>
      <c r="O12" s="27">
        <v>579.5</v>
      </c>
      <c r="P12" s="27">
        <v>667.9</v>
      </c>
      <c r="Q12" s="27">
        <v>189.5</v>
      </c>
      <c r="R12" s="27">
        <v>176.9</v>
      </c>
      <c r="S12" s="27">
        <v>306.7</v>
      </c>
      <c r="T12" s="27">
        <v>495.7</v>
      </c>
      <c r="U12" s="27">
        <v>494</v>
      </c>
    </row>
    <row r="13" spans="1:21" x14ac:dyDescent="0.2">
      <c r="A13" s="22" t="s">
        <v>89</v>
      </c>
      <c r="B13" s="23">
        <v>25.7</v>
      </c>
      <c r="C13" s="23">
        <v>25.8</v>
      </c>
      <c r="D13" s="23">
        <v>29.3</v>
      </c>
      <c r="E13" s="23">
        <v>28.2</v>
      </c>
      <c r="F13" s="23">
        <v>23.8</v>
      </c>
      <c r="G13" s="23">
        <v>30.4</v>
      </c>
      <c r="H13" s="23">
        <v>37.5</v>
      </c>
      <c r="I13" s="23">
        <v>26.5</v>
      </c>
      <c r="J13" s="27">
        <v>31</v>
      </c>
      <c r="K13" s="23">
        <v>27.8</v>
      </c>
      <c r="L13" s="23">
        <v>21.4</v>
      </c>
      <c r="M13" s="23">
        <v>28.7</v>
      </c>
      <c r="N13" s="23">
        <v>18.3</v>
      </c>
      <c r="O13" s="23">
        <v>23.2</v>
      </c>
      <c r="P13" s="23">
        <v>21.6</v>
      </c>
      <c r="Q13" s="23">
        <v>55.6</v>
      </c>
      <c r="R13" s="23">
        <v>22.5</v>
      </c>
      <c r="S13" s="23">
        <v>21.2</v>
      </c>
      <c r="T13" s="23">
        <v>25.9</v>
      </c>
      <c r="U13" s="23">
        <v>25.7</v>
      </c>
    </row>
    <row r="14" spans="1:21" x14ac:dyDescent="0.2">
      <c r="A14" s="22" t="s">
        <v>90</v>
      </c>
      <c r="B14" s="23">
        <v>51.9</v>
      </c>
      <c r="C14" s="23">
        <v>59.5</v>
      </c>
      <c r="D14" s="23">
        <v>54.5</v>
      </c>
      <c r="E14" s="23">
        <v>60.4</v>
      </c>
      <c r="F14" s="23">
        <v>63.5</v>
      </c>
      <c r="G14" s="23">
        <v>60.2</v>
      </c>
      <c r="H14" s="23">
        <v>48.6</v>
      </c>
      <c r="I14" s="23">
        <v>53.2</v>
      </c>
      <c r="J14" s="23">
        <v>53.7</v>
      </c>
      <c r="K14" s="23">
        <v>49.7</v>
      </c>
      <c r="L14" s="23">
        <v>60</v>
      </c>
      <c r="M14" s="23">
        <v>55.2</v>
      </c>
      <c r="N14" s="23">
        <v>65.2</v>
      </c>
      <c r="O14" s="23">
        <v>55.2</v>
      </c>
      <c r="P14" s="23">
        <v>64.3</v>
      </c>
      <c r="Q14" s="23">
        <v>29</v>
      </c>
      <c r="R14" s="23">
        <v>56.8</v>
      </c>
      <c r="S14" s="23">
        <v>56.1</v>
      </c>
      <c r="T14" s="23">
        <v>53.6</v>
      </c>
      <c r="U14" s="23">
        <v>52.3</v>
      </c>
    </row>
    <row r="15" spans="1:21" x14ac:dyDescent="0.2">
      <c r="A15" s="22" t="s">
        <v>91</v>
      </c>
      <c r="B15" s="27">
        <v>19</v>
      </c>
      <c r="C15" s="27">
        <v>15</v>
      </c>
      <c r="D15" s="27">
        <v>14.9</v>
      </c>
      <c r="E15" s="27">
        <v>9</v>
      </c>
      <c r="F15" s="23">
        <v>12.5</v>
      </c>
      <c r="G15" s="23">
        <v>11.7</v>
      </c>
      <c r="H15" s="23">
        <v>13.8</v>
      </c>
      <c r="I15" s="23">
        <v>18.2</v>
      </c>
      <c r="J15" s="23">
        <v>10.8</v>
      </c>
      <c r="K15" s="23">
        <v>17.2</v>
      </c>
      <c r="L15" s="23">
        <v>15.5</v>
      </c>
      <c r="M15" s="23">
        <v>12.8</v>
      </c>
      <c r="N15" s="23">
        <v>13.8</v>
      </c>
      <c r="O15" s="23">
        <v>20.100000000000001</v>
      </c>
      <c r="P15" s="23">
        <v>11.8</v>
      </c>
      <c r="Q15" s="23">
        <v>12</v>
      </c>
      <c r="R15" s="23">
        <v>18.100000000000001</v>
      </c>
      <c r="S15" s="23">
        <v>27.5</v>
      </c>
      <c r="T15" s="23">
        <v>30.9</v>
      </c>
      <c r="U15" s="23">
        <v>30.5</v>
      </c>
    </row>
    <row r="16" spans="1:21" x14ac:dyDescent="0.2">
      <c r="A16" s="22" t="s">
        <v>92</v>
      </c>
      <c r="B16" s="23">
        <v>3.8</v>
      </c>
      <c r="C16" s="23">
        <v>1.5</v>
      </c>
      <c r="D16" s="23">
        <v>2.1</v>
      </c>
      <c r="E16" s="27">
        <v>4</v>
      </c>
      <c r="F16" s="23">
        <v>1.9</v>
      </c>
      <c r="G16" s="23">
        <v>4.0999999999999996</v>
      </c>
      <c r="H16" s="23">
        <v>4.5999999999999996</v>
      </c>
      <c r="I16" s="23">
        <v>7.7</v>
      </c>
      <c r="J16" s="27">
        <v>4</v>
      </c>
      <c r="K16" s="23">
        <v>5.7</v>
      </c>
      <c r="L16" s="23">
        <v>4.5999999999999996</v>
      </c>
      <c r="M16" s="23">
        <v>2.1</v>
      </c>
      <c r="N16" s="23">
        <v>4.5999999999999996</v>
      </c>
      <c r="O16" s="23">
        <v>3.5</v>
      </c>
      <c r="P16" s="23">
        <v>3.8</v>
      </c>
      <c r="Q16" s="23">
        <v>2.4</v>
      </c>
      <c r="R16" s="23">
        <v>1.9</v>
      </c>
      <c r="S16" s="23">
        <v>3.3</v>
      </c>
      <c r="T16" s="23">
        <v>3</v>
      </c>
      <c r="U16" s="23">
        <v>3.9</v>
      </c>
    </row>
    <row r="17" spans="1:5" x14ac:dyDescent="0.2">
      <c r="A17" s="42" t="s">
        <v>97</v>
      </c>
      <c r="B17" s="70"/>
      <c r="C17" s="71"/>
      <c r="D17" s="71"/>
      <c r="E17" s="71"/>
    </row>
    <row r="18" spans="1:5" x14ac:dyDescent="0.2">
      <c r="A18" s="42" t="s">
        <v>98</v>
      </c>
      <c r="B18" s="70"/>
      <c r="C18" s="71"/>
      <c r="D18" s="71"/>
      <c r="E18" s="71"/>
    </row>
    <row r="19" spans="1:5" x14ac:dyDescent="0.2">
      <c r="A19" s="28" t="s">
        <v>88</v>
      </c>
      <c r="B19" s="70"/>
      <c r="C19" s="71"/>
      <c r="D19" s="71"/>
      <c r="E19" s="71"/>
    </row>
    <row r="20" spans="1:5" x14ac:dyDescent="0.2">
      <c r="A20" s="39" t="s">
        <v>80</v>
      </c>
    </row>
    <row r="21" spans="1:5" x14ac:dyDescent="0.2">
      <c r="A21" s="57"/>
    </row>
  </sheetData>
  <phoneticPr fontId="2" type="noConversion"/>
  <hyperlinks>
    <hyperlink ref="A2" location="Sommaire!A1" display="Retour au menu &quot;Données internationales&quot;" xr:uid="{00000000-0004-0000-05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3"/>
  <sheetViews>
    <sheetView zoomScaleNormal="100" workbookViewId="0"/>
  </sheetViews>
  <sheetFormatPr baseColWidth="10" defaultColWidth="11.42578125" defaultRowHeight="12" x14ac:dyDescent="0.2"/>
  <cols>
    <col min="1" max="1" width="26.5703125" style="58" customWidth="1"/>
    <col min="2" max="18" width="6.5703125" style="2" customWidth="1"/>
    <col min="19" max="19" width="7.42578125" style="2" customWidth="1"/>
    <col min="20" max="20" width="6.42578125" style="2" customWidth="1"/>
    <col min="21" max="21" width="7.42578125" style="2" customWidth="1"/>
    <col min="22" max="16384" width="11.42578125" style="2"/>
  </cols>
  <sheetData>
    <row r="1" spans="1:21" s="4" customFormat="1" ht="12.75" x14ac:dyDescent="0.2">
      <c r="A1" s="50"/>
      <c r="B1" s="10"/>
      <c r="C1" s="10"/>
      <c r="D1" s="10"/>
      <c r="E1" s="10"/>
      <c r="F1" s="10"/>
    </row>
    <row r="2" spans="1:21" s="12" customFormat="1" ht="12.75" x14ac:dyDescent="0.2">
      <c r="A2" s="51" t="s">
        <v>18</v>
      </c>
      <c r="B2" s="11"/>
      <c r="C2" s="11"/>
      <c r="D2" s="11"/>
      <c r="E2" s="11"/>
      <c r="F2" s="11"/>
    </row>
    <row r="3" spans="1:21" s="4" customFormat="1" ht="12.75" x14ac:dyDescent="0.2">
      <c r="A3" s="50"/>
      <c r="B3" s="10"/>
      <c r="C3" s="10"/>
      <c r="D3" s="10"/>
      <c r="E3" s="10"/>
      <c r="F3" s="10"/>
    </row>
    <row r="4" spans="1:21" s="4" customFormat="1" ht="12.75" x14ac:dyDescent="0.2">
      <c r="A4" s="50"/>
      <c r="B4" s="10"/>
      <c r="C4" s="10"/>
      <c r="D4" s="10"/>
      <c r="E4" s="10"/>
      <c r="F4" s="10"/>
    </row>
    <row r="5" spans="1:21" ht="12.75" x14ac:dyDescent="0.2">
      <c r="A5" s="52" t="s">
        <v>8</v>
      </c>
    </row>
    <row r="6" spans="1:21" ht="3" customHeight="1" x14ac:dyDescent="0.2">
      <c r="A6" s="53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21" s="1" customFormat="1" x14ac:dyDescent="0.2">
      <c r="A7" s="54"/>
      <c r="B7" s="13">
        <v>2005</v>
      </c>
      <c r="C7" s="13">
        <v>2006</v>
      </c>
      <c r="D7" s="13">
        <v>2007</v>
      </c>
      <c r="E7" s="13">
        <v>2008</v>
      </c>
      <c r="F7" s="13">
        <v>2009</v>
      </c>
      <c r="G7" s="13">
        <v>2010</v>
      </c>
      <c r="H7" s="13">
        <v>2011</v>
      </c>
      <c r="I7" s="13">
        <v>2012</v>
      </c>
      <c r="J7" s="13">
        <v>2013</v>
      </c>
      <c r="K7" s="13">
        <v>2014</v>
      </c>
      <c r="L7" s="13">
        <v>2015</v>
      </c>
      <c r="M7" s="13">
        <v>2016</v>
      </c>
      <c r="N7" s="13">
        <v>2017</v>
      </c>
      <c r="O7" s="13">
        <v>2018</v>
      </c>
      <c r="P7" s="13">
        <v>2019</v>
      </c>
      <c r="Q7" s="13">
        <v>2020</v>
      </c>
      <c r="R7" s="13">
        <v>2021</v>
      </c>
      <c r="S7" s="13">
        <v>2022</v>
      </c>
      <c r="T7" s="13">
        <v>2023</v>
      </c>
      <c r="U7" s="13">
        <v>2024</v>
      </c>
    </row>
    <row r="8" spans="1:21" ht="13.5" x14ac:dyDescent="0.2">
      <c r="A8" s="55" t="s">
        <v>25</v>
      </c>
      <c r="B8" s="23">
        <v>116</v>
      </c>
      <c r="C8" s="23">
        <v>142</v>
      </c>
      <c r="D8" s="23">
        <v>188</v>
      </c>
      <c r="E8" s="23">
        <v>249</v>
      </c>
      <c r="F8" s="23">
        <v>275</v>
      </c>
      <c r="G8" s="23">
        <v>330</v>
      </c>
      <c r="H8" s="23">
        <v>304</v>
      </c>
      <c r="I8" s="23">
        <v>307</v>
      </c>
      <c r="J8" s="23">
        <v>300</v>
      </c>
      <c r="K8" s="23">
        <v>284</v>
      </c>
      <c r="L8" s="23">
        <v>286</v>
      </c>
      <c r="M8" s="23">
        <v>269</v>
      </c>
      <c r="N8" s="23">
        <v>293</v>
      </c>
      <c r="O8" s="23">
        <v>274</v>
      </c>
      <c r="P8" s="23">
        <v>277</v>
      </c>
      <c r="Q8" s="23">
        <v>229</v>
      </c>
      <c r="R8" s="23">
        <v>257</v>
      </c>
      <c r="S8" s="23">
        <v>188</v>
      </c>
      <c r="T8" s="23">
        <v>99</v>
      </c>
      <c r="U8" s="23" t="s">
        <v>27</v>
      </c>
    </row>
    <row r="9" spans="1:21" x14ac:dyDescent="0.2">
      <c r="A9" s="55" t="s">
        <v>5</v>
      </c>
      <c r="B9" s="24">
        <v>3357</v>
      </c>
      <c r="C9" s="24">
        <v>3440</v>
      </c>
      <c r="D9" s="24">
        <v>3514</v>
      </c>
      <c r="E9" s="24">
        <v>3610</v>
      </c>
      <c r="F9" s="24">
        <v>3651</v>
      </c>
      <c r="G9" s="24">
        <v>3671</v>
      </c>
      <c r="H9" s="24">
        <v>3767</v>
      </c>
      <c r="I9" s="24">
        <v>3817</v>
      </c>
      <c r="J9" s="24">
        <v>3867</v>
      </c>
      <c r="K9" s="24">
        <v>3909</v>
      </c>
      <c r="L9" s="24">
        <v>4046</v>
      </c>
      <c r="M9" s="24">
        <v>4150</v>
      </c>
      <c r="N9" s="24">
        <v>4512</v>
      </c>
      <c r="O9" s="24">
        <v>4640</v>
      </c>
      <c r="P9" s="24">
        <v>4782</v>
      </c>
      <c r="Q9" s="24">
        <v>4682</v>
      </c>
      <c r="R9" s="24">
        <v>4610</v>
      </c>
      <c r="S9" s="24">
        <v>4637</v>
      </c>
      <c r="T9" s="24">
        <v>4539</v>
      </c>
      <c r="U9" s="24">
        <v>4587</v>
      </c>
    </row>
    <row r="10" spans="1:21" x14ac:dyDescent="0.2">
      <c r="A10" s="55" t="s">
        <v>9</v>
      </c>
      <c r="B10" s="27">
        <v>164.7</v>
      </c>
      <c r="C10" s="27">
        <v>156.6</v>
      </c>
      <c r="D10" s="27">
        <v>162.4</v>
      </c>
      <c r="E10" s="27">
        <v>164.2</v>
      </c>
      <c r="F10" s="27">
        <v>173.5</v>
      </c>
      <c r="G10" s="27">
        <v>169.2</v>
      </c>
      <c r="H10" s="27">
        <v>171.6</v>
      </c>
      <c r="I10" s="27">
        <v>172.5</v>
      </c>
      <c r="J10" s="27">
        <v>165.5</v>
      </c>
      <c r="K10" s="27">
        <v>157.5</v>
      </c>
      <c r="L10" s="27">
        <v>171.9</v>
      </c>
      <c r="M10" s="27">
        <v>168.3</v>
      </c>
      <c r="N10" s="27">
        <v>170.6</v>
      </c>
      <c r="O10" s="27">
        <v>177</v>
      </c>
      <c r="P10" s="27">
        <v>176.1</v>
      </c>
      <c r="Q10" s="27">
        <v>44</v>
      </c>
      <c r="R10" s="27">
        <v>74</v>
      </c>
      <c r="S10" s="27">
        <v>117.3</v>
      </c>
      <c r="T10" s="27">
        <v>123.6</v>
      </c>
      <c r="U10" s="27">
        <v>126.5</v>
      </c>
    </row>
    <row r="11" spans="1:21" ht="13.5" x14ac:dyDescent="0.2">
      <c r="A11" s="55" t="s">
        <v>40</v>
      </c>
      <c r="B11" s="23">
        <v>2.7</v>
      </c>
      <c r="C11" s="23">
        <v>2.6</v>
      </c>
      <c r="D11" s="23">
        <v>2.7</v>
      </c>
      <c r="E11" s="23">
        <v>2.7</v>
      </c>
      <c r="F11" s="23">
        <v>2.8</v>
      </c>
      <c r="G11" s="23">
        <v>2.8</v>
      </c>
      <c r="H11" s="23">
        <v>2.8</v>
      </c>
      <c r="I11" s="23">
        <v>2.7</v>
      </c>
      <c r="J11" s="23">
        <v>2.6</v>
      </c>
      <c r="K11" s="23">
        <v>2.5</v>
      </c>
      <c r="L11" s="23">
        <v>2.7</v>
      </c>
      <c r="M11" s="23">
        <v>2.6</v>
      </c>
      <c r="N11" s="23">
        <v>2.6</v>
      </c>
      <c r="O11" s="23">
        <v>2.7</v>
      </c>
      <c r="P11" s="23">
        <v>2.7</v>
      </c>
      <c r="Q11" s="23">
        <v>0.7</v>
      </c>
      <c r="R11" s="23">
        <v>1.1000000000000001</v>
      </c>
      <c r="S11" s="23">
        <v>1.7</v>
      </c>
      <c r="T11" s="23">
        <v>1.8</v>
      </c>
      <c r="U11" s="23">
        <v>1.8</v>
      </c>
    </row>
    <row r="12" spans="1:21" ht="13.5" customHeight="1" x14ac:dyDescent="0.2">
      <c r="A12" s="55" t="s">
        <v>10</v>
      </c>
      <c r="B12" s="27">
        <v>770</v>
      </c>
      <c r="C12" s="27">
        <v>762</v>
      </c>
      <c r="D12" s="27">
        <v>821</v>
      </c>
      <c r="E12" s="27">
        <v>849.5</v>
      </c>
      <c r="F12" s="27">
        <v>943.8</v>
      </c>
      <c r="G12" s="27">
        <v>988</v>
      </c>
      <c r="H12" s="27" t="s">
        <v>45</v>
      </c>
      <c r="I12" s="27" t="s">
        <v>46</v>
      </c>
      <c r="J12" s="27" t="s">
        <v>47</v>
      </c>
      <c r="K12" s="27" t="s">
        <v>65</v>
      </c>
      <c r="L12" s="27" t="s">
        <v>66</v>
      </c>
      <c r="M12" s="27" t="s">
        <v>67</v>
      </c>
      <c r="N12" s="27" t="s">
        <v>68</v>
      </c>
      <c r="O12" s="27" t="s">
        <v>69</v>
      </c>
      <c r="P12" s="27" t="s">
        <v>77</v>
      </c>
      <c r="Q12" s="27">
        <v>307.10000000000002</v>
      </c>
      <c r="R12" s="27">
        <v>541.9</v>
      </c>
      <c r="S12" s="27">
        <v>905.1</v>
      </c>
      <c r="T12" s="27">
        <v>980.2</v>
      </c>
      <c r="U12" s="27">
        <v>979</v>
      </c>
    </row>
    <row r="13" spans="1:21" ht="13.5" x14ac:dyDescent="0.2">
      <c r="A13" s="56" t="s">
        <v>99</v>
      </c>
      <c r="B13" s="27">
        <v>6.9</v>
      </c>
      <c r="C13" s="27">
        <v>4.7</v>
      </c>
      <c r="D13" s="27">
        <v>6.8</v>
      </c>
      <c r="E13" s="27">
        <v>5.7</v>
      </c>
      <c r="F13" s="27">
        <v>8.1999999999999993</v>
      </c>
      <c r="G13" s="27">
        <v>5.4</v>
      </c>
      <c r="H13" s="27">
        <v>13.1</v>
      </c>
      <c r="I13" s="27">
        <v>9.3000000000000007</v>
      </c>
      <c r="J13" s="27">
        <v>6.6</v>
      </c>
      <c r="K13" s="27">
        <v>16.100000000000001</v>
      </c>
      <c r="L13" s="27">
        <v>10.5</v>
      </c>
      <c r="M13" s="27">
        <v>7.4</v>
      </c>
      <c r="N13" s="27">
        <v>9.6</v>
      </c>
      <c r="O13" s="27">
        <v>13.2</v>
      </c>
      <c r="P13" s="27">
        <v>12.9</v>
      </c>
      <c r="Q13" s="27">
        <v>14.2</v>
      </c>
      <c r="R13" s="27">
        <v>5</v>
      </c>
      <c r="S13" s="27">
        <v>7.9</v>
      </c>
      <c r="T13" s="27">
        <v>3.8</v>
      </c>
      <c r="U13" s="27">
        <v>9.1</v>
      </c>
    </row>
    <row r="14" spans="1:21" ht="13.5" x14ac:dyDescent="0.2">
      <c r="A14" s="55" t="s">
        <v>41</v>
      </c>
      <c r="B14" s="27">
        <v>63.1</v>
      </c>
      <c r="C14" s="27">
        <v>77.099999999999994</v>
      </c>
      <c r="D14" s="27">
        <v>67.7</v>
      </c>
      <c r="E14" s="27">
        <v>65.2</v>
      </c>
      <c r="F14" s="27">
        <v>81</v>
      </c>
      <c r="G14" s="27">
        <v>71.8</v>
      </c>
      <c r="H14" s="27">
        <v>60.6</v>
      </c>
      <c r="I14" s="27">
        <v>61.3</v>
      </c>
      <c r="J14" s="27">
        <v>72.7</v>
      </c>
      <c r="K14" s="27">
        <v>65.8</v>
      </c>
      <c r="L14" s="27">
        <v>51.1</v>
      </c>
      <c r="M14" s="27">
        <v>58.9</v>
      </c>
      <c r="N14" s="27">
        <v>57.7</v>
      </c>
      <c r="O14" s="27">
        <v>51.3</v>
      </c>
      <c r="P14" s="27">
        <v>50</v>
      </c>
      <c r="Q14" s="27">
        <v>42.1</v>
      </c>
      <c r="R14" s="27">
        <v>55.6</v>
      </c>
      <c r="S14" s="27">
        <v>65.599999999999994</v>
      </c>
      <c r="T14" s="27">
        <v>51.5</v>
      </c>
      <c r="U14" s="27">
        <v>84</v>
      </c>
    </row>
    <row r="15" spans="1:21" ht="13.5" x14ac:dyDescent="0.2">
      <c r="A15" s="55" t="s">
        <v>42</v>
      </c>
      <c r="B15" s="23">
        <v>1.6</v>
      </c>
      <c r="C15" s="23">
        <v>1.2</v>
      </c>
      <c r="D15" s="23">
        <v>1.8</v>
      </c>
      <c r="E15" s="23">
        <v>2.2999999999999998</v>
      </c>
      <c r="F15" s="23">
        <v>1.2</v>
      </c>
      <c r="G15" s="23">
        <v>2.1</v>
      </c>
      <c r="H15" s="23">
        <v>1.7</v>
      </c>
      <c r="I15" s="23">
        <v>4.8</v>
      </c>
      <c r="J15" s="27">
        <v>3</v>
      </c>
      <c r="K15" s="23">
        <v>4.5</v>
      </c>
      <c r="L15" s="23">
        <v>2.4</v>
      </c>
      <c r="M15" s="23">
        <v>3.2</v>
      </c>
      <c r="N15" s="23">
        <v>1.5</v>
      </c>
      <c r="O15" s="23">
        <v>1.1000000000000001</v>
      </c>
      <c r="P15" s="23">
        <v>1.1000000000000001</v>
      </c>
      <c r="Q15" s="23">
        <v>2.7</v>
      </c>
      <c r="R15" s="23">
        <v>1.1000000000000001</v>
      </c>
      <c r="S15" s="23">
        <v>0.6</v>
      </c>
      <c r="T15" s="23">
        <v>1.6</v>
      </c>
      <c r="U15" s="23">
        <v>1.4</v>
      </c>
    </row>
    <row r="16" spans="1:21" ht="13.5" x14ac:dyDescent="0.2">
      <c r="A16" s="55" t="s">
        <v>100</v>
      </c>
      <c r="B16" s="23" t="s">
        <v>22</v>
      </c>
      <c r="C16" s="23" t="s">
        <v>22</v>
      </c>
      <c r="D16" s="23" t="s">
        <v>22</v>
      </c>
      <c r="E16" s="23" t="s">
        <v>22</v>
      </c>
      <c r="F16" s="23">
        <v>0.8</v>
      </c>
      <c r="G16" s="23">
        <v>1.4</v>
      </c>
      <c r="H16" s="23">
        <v>1.8</v>
      </c>
      <c r="I16" s="23">
        <v>4.3</v>
      </c>
      <c r="J16" s="23">
        <v>0.7</v>
      </c>
      <c r="K16" s="23">
        <v>1.9</v>
      </c>
      <c r="L16" s="23">
        <v>2</v>
      </c>
      <c r="M16" s="23">
        <v>0.7</v>
      </c>
      <c r="N16" s="23">
        <v>1.1000000000000001</v>
      </c>
      <c r="O16" s="23">
        <v>0.4</v>
      </c>
      <c r="P16" s="23">
        <v>0.3</v>
      </c>
      <c r="Q16" s="23">
        <v>0.7</v>
      </c>
      <c r="R16" s="23">
        <v>0.3</v>
      </c>
      <c r="S16" s="23">
        <v>0.5</v>
      </c>
      <c r="T16">
        <v>0.8</v>
      </c>
      <c r="U16">
        <v>0.9</v>
      </c>
    </row>
    <row r="17" spans="1:18" ht="12" customHeight="1" x14ac:dyDescent="0.2">
      <c r="A17" s="39" t="s">
        <v>101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s="3" customFormat="1" ht="11.25" x14ac:dyDescent="0.2">
      <c r="A18" s="42" t="s">
        <v>94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</row>
    <row r="19" spans="1:18" s="3" customFormat="1" ht="11.25" x14ac:dyDescent="0.2">
      <c r="A19" s="42" t="s">
        <v>82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</row>
    <row r="20" spans="1:18" x14ac:dyDescent="0.2">
      <c r="A20" s="104" t="s">
        <v>102</v>
      </c>
      <c r="B20" s="104"/>
      <c r="C20" s="104"/>
      <c r="D20" s="104"/>
      <c r="E20" s="104"/>
      <c r="F20" s="104"/>
      <c r="G20" s="104"/>
      <c r="H20" s="104"/>
      <c r="I20" s="104"/>
    </row>
    <row r="21" spans="1:18" x14ac:dyDescent="0.2">
      <c r="A21" s="61" t="s">
        <v>103</v>
      </c>
      <c r="B21" s="61"/>
      <c r="C21" s="61"/>
      <c r="D21" s="61"/>
      <c r="E21" s="61"/>
      <c r="F21" s="61"/>
      <c r="G21" s="61"/>
      <c r="H21" s="61"/>
      <c r="I21" s="61"/>
    </row>
    <row r="22" spans="1:18" x14ac:dyDescent="0.2">
      <c r="A22" s="39" t="s">
        <v>83</v>
      </c>
      <c r="B22" s="39"/>
      <c r="C22" s="39"/>
      <c r="D22" s="39"/>
      <c r="E22" s="39"/>
      <c r="F22" s="39"/>
      <c r="G22" s="39"/>
      <c r="H22" s="39"/>
      <c r="I22" s="39"/>
    </row>
    <row r="23" spans="1:18" x14ac:dyDescent="0.2">
      <c r="A23" s="57"/>
    </row>
  </sheetData>
  <mergeCells count="1">
    <mergeCell ref="A20:I20"/>
  </mergeCells>
  <phoneticPr fontId="2" type="noConversion"/>
  <hyperlinks>
    <hyperlink ref="A2" location="Sommaire!A1" display="Retour au menu &quot;Données internationales&quot;" xr:uid="{00000000-0004-0000-06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0"/>
  <sheetViews>
    <sheetView workbookViewId="0"/>
  </sheetViews>
  <sheetFormatPr baseColWidth="10" defaultColWidth="11.42578125" defaultRowHeight="12" x14ac:dyDescent="0.2"/>
  <cols>
    <col min="1" max="1" width="38.42578125" style="58" customWidth="1"/>
    <col min="2" max="18" width="5.42578125" style="58" bestFit="1" customWidth="1"/>
    <col min="19" max="19" width="6.28515625" style="58" customWidth="1"/>
    <col min="20" max="20" width="7.42578125" style="58" customWidth="1"/>
    <col min="21" max="21" width="9.28515625" style="58" customWidth="1"/>
    <col min="22" max="16384" width="11.42578125" style="58"/>
  </cols>
  <sheetData>
    <row r="1" spans="1:21" s="50" customFormat="1" ht="12.75" x14ac:dyDescent="0.2">
      <c r="B1" s="63"/>
      <c r="C1" s="63"/>
      <c r="D1" s="63"/>
      <c r="E1" s="63"/>
      <c r="F1" s="63"/>
    </row>
    <row r="2" spans="1:21" s="66" customFormat="1" ht="12.75" x14ac:dyDescent="0.2">
      <c r="A2" s="51" t="s">
        <v>18</v>
      </c>
      <c r="B2" s="65"/>
      <c r="C2" s="65"/>
      <c r="D2" s="65"/>
      <c r="E2" s="65"/>
      <c r="F2" s="65"/>
    </row>
    <row r="3" spans="1:21" s="50" customFormat="1" ht="12.75" x14ac:dyDescent="0.2">
      <c r="B3" s="63"/>
      <c r="C3" s="63"/>
      <c r="D3" s="63"/>
      <c r="E3" s="63"/>
      <c r="F3" s="63"/>
    </row>
    <row r="4" spans="1:21" s="50" customFormat="1" ht="12.75" x14ac:dyDescent="0.2">
      <c r="B4" s="63"/>
      <c r="C4" s="63"/>
      <c r="D4" s="63"/>
      <c r="E4" s="63"/>
      <c r="F4" s="63"/>
    </row>
    <row r="5" spans="1:21" ht="12.75" x14ac:dyDescent="0.2">
      <c r="A5" s="52" t="s">
        <v>48</v>
      </c>
    </row>
    <row r="6" spans="1:21" ht="3" customHeight="1" x14ac:dyDescent="0.2">
      <c r="A6" s="53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21" s="69" customFormat="1" x14ac:dyDescent="0.2">
      <c r="A7" s="54"/>
      <c r="B7" s="54">
        <v>2005</v>
      </c>
      <c r="C7" s="54">
        <v>2006</v>
      </c>
      <c r="D7" s="54">
        <v>2007</v>
      </c>
      <c r="E7" s="54">
        <v>2008</v>
      </c>
      <c r="F7" s="54">
        <v>2009</v>
      </c>
      <c r="G7" s="54">
        <v>2010</v>
      </c>
      <c r="H7" s="54">
        <v>2011</v>
      </c>
      <c r="I7" s="54">
        <v>2012</v>
      </c>
      <c r="J7" s="54">
        <v>2013</v>
      </c>
      <c r="K7" s="54">
        <v>2014</v>
      </c>
      <c r="L7" s="54">
        <v>2015</v>
      </c>
      <c r="M7" s="54">
        <v>2016</v>
      </c>
      <c r="N7" s="54">
        <v>2017</v>
      </c>
      <c r="O7" s="54">
        <v>2018</v>
      </c>
      <c r="P7" s="54">
        <v>2019</v>
      </c>
      <c r="Q7" s="54">
        <v>2020</v>
      </c>
      <c r="R7" s="54">
        <v>2021</v>
      </c>
      <c r="S7" s="54">
        <v>2022</v>
      </c>
      <c r="T7" s="54">
        <v>2023</v>
      </c>
      <c r="U7" s="54">
        <v>2024</v>
      </c>
    </row>
    <row r="8" spans="1:21" ht="13.5" x14ac:dyDescent="0.2">
      <c r="A8" s="55" t="s">
        <v>25</v>
      </c>
      <c r="B8" s="29">
        <v>62</v>
      </c>
      <c r="C8" s="29">
        <v>61</v>
      </c>
      <c r="D8" s="29">
        <v>78</v>
      </c>
      <c r="E8" s="29">
        <v>78</v>
      </c>
      <c r="F8" s="29">
        <v>76</v>
      </c>
      <c r="G8" s="29">
        <v>70</v>
      </c>
      <c r="H8" s="29">
        <v>65</v>
      </c>
      <c r="I8" s="29">
        <v>69</v>
      </c>
      <c r="J8" s="29">
        <v>66</v>
      </c>
      <c r="K8" s="29">
        <v>99</v>
      </c>
      <c r="L8" s="29">
        <v>115</v>
      </c>
      <c r="M8" s="29">
        <v>112</v>
      </c>
      <c r="N8" s="29">
        <v>135</v>
      </c>
      <c r="O8" s="29">
        <v>124</v>
      </c>
      <c r="P8" s="29">
        <v>167</v>
      </c>
      <c r="Q8" s="29">
        <v>106</v>
      </c>
      <c r="R8" s="29" t="s">
        <v>27</v>
      </c>
      <c r="S8" s="97"/>
      <c r="T8" s="97"/>
      <c r="U8" s="97"/>
    </row>
    <row r="9" spans="1:21" x14ac:dyDescent="0.2">
      <c r="A9" s="55" t="s">
        <v>5</v>
      </c>
      <c r="B9" s="24">
        <v>1079</v>
      </c>
      <c r="C9" s="24">
        <v>1333</v>
      </c>
      <c r="D9" s="24">
        <v>1575</v>
      </c>
      <c r="E9" s="24">
        <v>1909</v>
      </c>
      <c r="F9" s="24">
        <v>2133</v>
      </c>
      <c r="G9" s="24">
        <v>2391</v>
      </c>
      <c r="H9" s="24">
        <v>2704</v>
      </c>
      <c r="I9" s="24">
        <v>3100</v>
      </c>
      <c r="J9" s="24">
        <v>3479</v>
      </c>
      <c r="K9" s="24">
        <v>3829</v>
      </c>
      <c r="L9" s="24">
        <v>3994</v>
      </c>
      <c r="M9" s="24">
        <v>4376</v>
      </c>
      <c r="N9" s="24">
        <v>4805</v>
      </c>
      <c r="O9" s="24">
        <v>5341</v>
      </c>
      <c r="P9" s="24">
        <v>5597</v>
      </c>
      <c r="Q9" s="24">
        <v>5337</v>
      </c>
      <c r="R9" s="24" t="s">
        <v>27</v>
      </c>
      <c r="S9" s="98"/>
      <c r="T9" s="98"/>
      <c r="U9" s="98"/>
    </row>
    <row r="10" spans="1:21" x14ac:dyDescent="0.2">
      <c r="A10" s="55" t="s">
        <v>9</v>
      </c>
      <c r="B10" s="27">
        <v>83.6</v>
      </c>
      <c r="C10" s="27">
        <v>91.8</v>
      </c>
      <c r="D10" s="27">
        <v>106.6</v>
      </c>
      <c r="E10" s="27">
        <v>123.9</v>
      </c>
      <c r="F10" s="27">
        <v>132.30000000000001</v>
      </c>
      <c r="G10" s="27">
        <v>155.9</v>
      </c>
      <c r="H10" s="27">
        <v>159.5</v>
      </c>
      <c r="I10" s="27">
        <v>157</v>
      </c>
      <c r="J10" s="27">
        <v>177.1</v>
      </c>
      <c r="K10" s="27">
        <v>176</v>
      </c>
      <c r="L10" s="27">
        <v>174</v>
      </c>
      <c r="M10" s="27">
        <v>192.8</v>
      </c>
      <c r="N10" s="27">
        <v>212.1</v>
      </c>
      <c r="O10" s="27">
        <v>200.6</v>
      </c>
      <c r="P10" s="27">
        <v>219.4</v>
      </c>
      <c r="Q10" s="27">
        <v>88.8</v>
      </c>
      <c r="R10" s="27">
        <v>145.69999999999999</v>
      </c>
      <c r="S10" s="99"/>
      <c r="T10" s="99"/>
      <c r="U10" s="99"/>
    </row>
    <row r="11" spans="1:21" x14ac:dyDescent="0.2">
      <c r="A11" s="55" t="s">
        <v>1</v>
      </c>
      <c r="B11" s="31">
        <v>0.6</v>
      </c>
      <c r="C11" s="31">
        <v>0.6</v>
      </c>
      <c r="D11" s="27">
        <v>0.8</v>
      </c>
      <c r="E11" s="27">
        <v>0.9</v>
      </c>
      <c r="F11" s="27">
        <v>1</v>
      </c>
      <c r="G11" s="27">
        <v>1.2</v>
      </c>
      <c r="H11" s="27">
        <v>1.1000000000000001</v>
      </c>
      <c r="I11" s="27">
        <v>1.1000000000000001</v>
      </c>
      <c r="J11" s="27">
        <v>1.1000000000000001</v>
      </c>
      <c r="K11" s="27">
        <v>1.2</v>
      </c>
      <c r="L11" s="27">
        <v>1.2</v>
      </c>
      <c r="M11" s="27">
        <v>1.3</v>
      </c>
      <c r="N11" s="27">
        <v>1.5</v>
      </c>
      <c r="O11" s="27">
        <v>1.4</v>
      </c>
      <c r="P11" s="27">
        <v>1.5</v>
      </c>
      <c r="Q11" s="27">
        <v>0.6</v>
      </c>
      <c r="R11" s="27">
        <v>1</v>
      </c>
      <c r="S11" s="99"/>
      <c r="T11" s="99"/>
      <c r="U11" s="99"/>
    </row>
    <row r="12" spans="1:21" x14ac:dyDescent="0.2">
      <c r="A12" s="55" t="s">
        <v>49</v>
      </c>
      <c r="B12" s="32">
        <v>321.60000000000002</v>
      </c>
      <c r="C12" s="32">
        <v>421.9</v>
      </c>
      <c r="D12" s="32">
        <v>565</v>
      </c>
      <c r="E12" s="32">
        <v>830</v>
      </c>
      <c r="F12" s="32">
        <v>736</v>
      </c>
      <c r="G12" s="24">
        <v>1057</v>
      </c>
      <c r="H12" s="24">
        <v>1155</v>
      </c>
      <c r="I12" s="24" t="s">
        <v>60</v>
      </c>
      <c r="J12" s="24">
        <v>1370</v>
      </c>
      <c r="K12" s="24" t="s">
        <v>84</v>
      </c>
      <c r="L12" s="24">
        <v>716</v>
      </c>
      <c r="M12" s="24">
        <v>726</v>
      </c>
      <c r="N12" s="24">
        <v>912</v>
      </c>
      <c r="O12" s="24">
        <v>803</v>
      </c>
      <c r="P12" s="24">
        <v>847</v>
      </c>
      <c r="Q12" s="24">
        <v>315</v>
      </c>
      <c r="R12" s="24">
        <v>552</v>
      </c>
      <c r="S12" s="98"/>
      <c r="T12" s="98"/>
      <c r="U12" s="98"/>
    </row>
    <row r="13" spans="1:21" ht="13.5" x14ac:dyDescent="0.2">
      <c r="A13" s="56" t="s">
        <v>26</v>
      </c>
      <c r="B13" s="27">
        <v>12.3</v>
      </c>
      <c r="C13" s="27">
        <v>29.4</v>
      </c>
      <c r="D13" s="27">
        <v>26</v>
      </c>
      <c r="E13" s="27">
        <v>25.7</v>
      </c>
      <c r="F13" s="27">
        <v>24.5</v>
      </c>
      <c r="G13" s="27">
        <v>15.8</v>
      </c>
      <c r="H13" s="27">
        <v>17.899999999999999</v>
      </c>
      <c r="I13" s="27">
        <v>16.100000000000001</v>
      </c>
      <c r="J13" s="27">
        <v>18.399999999999999</v>
      </c>
      <c r="K13" s="27">
        <v>18.7</v>
      </c>
      <c r="L13" s="27">
        <v>17.899999999999999</v>
      </c>
      <c r="M13" s="27">
        <v>18.100000000000001</v>
      </c>
      <c r="N13" s="27">
        <v>23.8</v>
      </c>
      <c r="O13" s="27">
        <v>28.5</v>
      </c>
      <c r="P13" s="27">
        <v>23.1</v>
      </c>
      <c r="Q13" s="27">
        <v>47.9</v>
      </c>
      <c r="R13" s="27">
        <v>27.2</v>
      </c>
      <c r="S13" s="99"/>
      <c r="T13" s="99"/>
      <c r="U13" s="99"/>
    </row>
    <row r="14" spans="1:21" ht="13.5" x14ac:dyDescent="0.2">
      <c r="A14" s="55" t="s">
        <v>36</v>
      </c>
      <c r="B14" s="27">
        <v>77.099999999999994</v>
      </c>
      <c r="C14" s="27">
        <v>67.7</v>
      </c>
      <c r="D14" s="27">
        <v>65.2</v>
      </c>
      <c r="E14" s="27">
        <v>81</v>
      </c>
      <c r="F14" s="27">
        <v>68.099999999999994</v>
      </c>
      <c r="G14" s="27">
        <v>71.599999999999994</v>
      </c>
      <c r="H14" s="27">
        <v>72.7</v>
      </c>
      <c r="I14" s="27">
        <v>69.099999999999994</v>
      </c>
      <c r="J14" s="27">
        <v>66.900000000000006</v>
      </c>
      <c r="K14" s="27">
        <v>78.3</v>
      </c>
      <c r="L14" s="27">
        <v>54.7</v>
      </c>
      <c r="M14" s="27">
        <v>58.8</v>
      </c>
      <c r="N14" s="27">
        <v>59.6</v>
      </c>
      <c r="O14" s="27">
        <v>54.6</v>
      </c>
      <c r="P14" s="27">
        <v>56.8</v>
      </c>
      <c r="Q14" s="27">
        <v>28</v>
      </c>
      <c r="R14" s="27" t="s">
        <v>27</v>
      </c>
      <c r="S14" s="99"/>
      <c r="T14" s="99"/>
      <c r="U14" s="99"/>
    </row>
    <row r="15" spans="1:21" ht="13.5" x14ac:dyDescent="0.2">
      <c r="A15" s="55" t="s">
        <v>24</v>
      </c>
      <c r="B15" s="32">
        <v>13</v>
      </c>
      <c r="C15" s="32">
        <v>12.8</v>
      </c>
      <c r="D15" s="32">
        <v>13.9</v>
      </c>
      <c r="E15" s="32">
        <v>13</v>
      </c>
      <c r="F15" s="32">
        <v>7.3</v>
      </c>
      <c r="G15" s="32">
        <v>11</v>
      </c>
      <c r="H15" s="32">
        <v>8.8000000000000007</v>
      </c>
      <c r="I15" s="32">
        <v>3.7</v>
      </c>
      <c r="J15" s="32" t="s">
        <v>27</v>
      </c>
      <c r="K15" s="32" t="s">
        <v>27</v>
      </c>
      <c r="L15" s="32">
        <v>26.8</v>
      </c>
      <c r="M15" s="32">
        <v>23</v>
      </c>
      <c r="N15" s="32">
        <v>16.399999999999999</v>
      </c>
      <c r="O15" s="32">
        <v>15.8</v>
      </c>
      <c r="P15" s="32">
        <v>20.100000000000001</v>
      </c>
      <c r="Q15" s="32">
        <v>21.6</v>
      </c>
      <c r="R15" s="32" t="s">
        <v>27</v>
      </c>
      <c r="S15" s="100"/>
      <c r="T15" s="100"/>
      <c r="U15" s="100"/>
    </row>
    <row r="16" spans="1:21" ht="13.5" x14ac:dyDescent="0.2">
      <c r="A16" s="55" t="s">
        <v>37</v>
      </c>
      <c r="B16" s="23" t="s">
        <v>22</v>
      </c>
      <c r="C16" s="23" t="s">
        <v>22</v>
      </c>
      <c r="D16" s="23" t="s">
        <v>22</v>
      </c>
      <c r="E16" s="23" t="s">
        <v>22</v>
      </c>
      <c r="F16" s="23">
        <v>1.6</v>
      </c>
      <c r="G16" s="23">
        <v>1.9</v>
      </c>
      <c r="H16" s="23">
        <v>2.4</v>
      </c>
      <c r="I16" s="23">
        <v>4.4000000000000004</v>
      </c>
      <c r="J16" s="23">
        <v>1.5</v>
      </c>
      <c r="K16" s="23">
        <v>4.0999999999999996</v>
      </c>
      <c r="L16" s="23">
        <v>4.9000000000000004</v>
      </c>
      <c r="M16" s="23">
        <v>4.5</v>
      </c>
      <c r="N16" s="23">
        <v>6.2</v>
      </c>
      <c r="O16" s="23">
        <v>4.5</v>
      </c>
      <c r="P16" s="23">
        <v>6.8</v>
      </c>
      <c r="Q16" s="23">
        <v>2.4</v>
      </c>
      <c r="R16" s="23" t="s">
        <v>27</v>
      </c>
      <c r="S16" s="101"/>
      <c r="T16" s="101"/>
      <c r="U16" s="101"/>
    </row>
    <row r="17" spans="1:18" ht="12" customHeight="1" x14ac:dyDescent="0.2">
      <c r="A17" s="39" t="s">
        <v>61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x14ac:dyDescent="0.2">
      <c r="A18" s="21" t="s">
        <v>50</v>
      </c>
    </row>
    <row r="19" spans="1:18" x14ac:dyDescent="0.2">
      <c r="A19" s="39" t="s">
        <v>62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</row>
    <row r="20" spans="1:18" x14ac:dyDescent="0.2">
      <c r="A20" s="57"/>
    </row>
  </sheetData>
  <hyperlinks>
    <hyperlink ref="A2" location="Sommaire!A1" display="Retour au menu &quot;Données internationales&quot;" xr:uid="{00000000-0004-0000-07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workbookViewId="0"/>
  </sheetViews>
  <sheetFormatPr baseColWidth="10" defaultColWidth="11.42578125" defaultRowHeight="12" x14ac:dyDescent="0.2"/>
  <cols>
    <col min="1" max="1" width="31.140625" style="58" customWidth="1"/>
    <col min="2" max="4" width="6.42578125" style="67" bestFit="1" customWidth="1"/>
    <col min="5" max="18" width="6.42578125" style="58" bestFit="1" customWidth="1"/>
    <col min="19" max="19" width="6.5703125" style="58" customWidth="1"/>
    <col min="20" max="20" width="6.85546875" style="58" customWidth="1"/>
    <col min="21" max="21" width="7.7109375" style="58" customWidth="1"/>
    <col min="22" max="16384" width="11.42578125" style="58"/>
  </cols>
  <sheetData>
    <row r="1" spans="1:21" s="50" customFormat="1" ht="12.75" x14ac:dyDescent="0.2">
      <c r="B1" s="74"/>
      <c r="C1" s="74"/>
      <c r="D1" s="74"/>
    </row>
    <row r="2" spans="1:21" s="66" customFormat="1" ht="12.75" x14ac:dyDescent="0.2">
      <c r="A2" s="51" t="s">
        <v>18</v>
      </c>
      <c r="B2" s="92"/>
      <c r="C2" s="92"/>
      <c r="D2" s="92"/>
    </row>
    <row r="3" spans="1:21" s="50" customFormat="1" ht="12.75" x14ac:dyDescent="0.2">
      <c r="B3" s="74"/>
      <c r="C3" s="74"/>
      <c r="D3" s="74"/>
    </row>
    <row r="4" spans="1:21" s="50" customFormat="1" ht="12.75" x14ac:dyDescent="0.2">
      <c r="B4" s="74"/>
      <c r="C4" s="74"/>
      <c r="D4" s="74"/>
    </row>
    <row r="5" spans="1:21" ht="12.75" x14ac:dyDescent="0.2">
      <c r="A5" s="52" t="s">
        <v>11</v>
      </c>
    </row>
    <row r="6" spans="1:21" ht="3" customHeight="1" x14ac:dyDescent="0.2">
      <c r="A6" s="53"/>
      <c r="B6" s="20"/>
      <c r="C6" s="20"/>
      <c r="D6" s="20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21" s="69" customFormat="1" x14ac:dyDescent="0.2">
      <c r="A7" s="54"/>
      <c r="B7" s="68">
        <v>2005</v>
      </c>
      <c r="C7" s="68">
        <v>2006</v>
      </c>
      <c r="D7" s="68">
        <v>2007</v>
      </c>
      <c r="E7" s="68">
        <v>2008</v>
      </c>
      <c r="F7" s="68">
        <v>2009</v>
      </c>
      <c r="G7" s="54">
        <v>2010</v>
      </c>
      <c r="H7" s="54">
        <v>2011</v>
      </c>
      <c r="I7" s="54">
        <v>2012</v>
      </c>
      <c r="J7" s="54">
        <v>2013</v>
      </c>
      <c r="K7" s="54">
        <v>2014</v>
      </c>
      <c r="L7" s="54">
        <v>2015</v>
      </c>
      <c r="M7" s="54">
        <v>2016</v>
      </c>
      <c r="N7" s="54">
        <v>2017</v>
      </c>
      <c r="O7" s="54">
        <v>2018</v>
      </c>
      <c r="P7" s="54">
        <v>2019</v>
      </c>
      <c r="Q7" s="54">
        <v>2020</v>
      </c>
      <c r="R7" s="54">
        <v>2021</v>
      </c>
      <c r="S7" s="54">
        <v>2022</v>
      </c>
      <c r="T7" s="54">
        <v>2023</v>
      </c>
      <c r="U7" s="54">
        <v>2024</v>
      </c>
    </row>
    <row r="8" spans="1:21" s="79" customFormat="1" x14ac:dyDescent="0.2">
      <c r="A8" s="22" t="s">
        <v>51</v>
      </c>
      <c r="B8" s="23">
        <v>920</v>
      </c>
      <c r="C8" s="23">
        <v>928</v>
      </c>
      <c r="D8" s="23">
        <v>789</v>
      </c>
      <c r="E8" s="23">
        <v>479</v>
      </c>
      <c r="F8" s="23">
        <v>446</v>
      </c>
      <c r="G8" s="23">
        <v>490</v>
      </c>
      <c r="H8" s="23">
        <v>499</v>
      </c>
      <c r="I8" s="23">
        <v>728</v>
      </c>
      <c r="J8" s="23">
        <v>738</v>
      </c>
      <c r="K8" s="23">
        <v>707</v>
      </c>
      <c r="L8" s="23">
        <v>791</v>
      </c>
      <c r="M8" s="23">
        <v>789</v>
      </c>
      <c r="N8" s="23">
        <v>812</v>
      </c>
      <c r="O8" s="23">
        <v>808</v>
      </c>
      <c r="P8" s="23">
        <v>814</v>
      </c>
      <c r="Q8" s="23">
        <v>443</v>
      </c>
      <c r="R8" s="23">
        <v>943</v>
      </c>
      <c r="S8" s="23" t="s">
        <v>27</v>
      </c>
      <c r="T8" s="23" t="s">
        <v>27</v>
      </c>
      <c r="U8" s="23" t="s">
        <v>27</v>
      </c>
    </row>
    <row r="9" spans="1:21" s="79" customFormat="1" x14ac:dyDescent="0.2">
      <c r="A9" s="22" t="s">
        <v>12</v>
      </c>
      <c r="B9" s="24">
        <v>38852</v>
      </c>
      <c r="C9" s="24">
        <v>38415</v>
      </c>
      <c r="D9" s="24">
        <v>38974</v>
      </c>
      <c r="E9" s="24">
        <v>38834</v>
      </c>
      <c r="F9" s="24">
        <v>39233</v>
      </c>
      <c r="G9" s="24">
        <v>39520</v>
      </c>
      <c r="H9" s="30">
        <v>39580</v>
      </c>
      <c r="I9" s="30">
        <v>39662</v>
      </c>
      <c r="J9" s="30">
        <v>40024</v>
      </c>
      <c r="K9" s="30">
        <v>39956</v>
      </c>
      <c r="L9" s="30">
        <v>40006</v>
      </c>
      <c r="M9" s="30">
        <v>40604</v>
      </c>
      <c r="N9" s="30">
        <v>40246</v>
      </c>
      <c r="O9" s="30">
        <v>40837</v>
      </c>
      <c r="P9" s="30">
        <v>41172</v>
      </c>
      <c r="Q9" s="30">
        <v>40998</v>
      </c>
      <c r="R9" s="30">
        <v>40150</v>
      </c>
      <c r="S9" s="30">
        <v>39007</v>
      </c>
      <c r="T9" s="30" t="s">
        <v>27</v>
      </c>
      <c r="U9" s="30" t="s">
        <v>27</v>
      </c>
    </row>
    <row r="10" spans="1:21" s="93" customFormat="1" ht="13.5" x14ac:dyDescent="0.2">
      <c r="A10" s="22" t="s">
        <v>116</v>
      </c>
      <c r="B10" s="24">
        <v>1380</v>
      </c>
      <c r="C10" s="24">
        <v>1400</v>
      </c>
      <c r="D10" s="24">
        <v>1400</v>
      </c>
      <c r="E10" s="24">
        <v>1340</v>
      </c>
      <c r="F10" s="24">
        <v>1420</v>
      </c>
      <c r="G10" s="24">
        <v>1340</v>
      </c>
      <c r="H10" s="30">
        <v>1280</v>
      </c>
      <c r="I10" s="30">
        <v>1360</v>
      </c>
      <c r="J10" s="30">
        <v>1340</v>
      </c>
      <c r="K10" s="30">
        <v>1270</v>
      </c>
      <c r="L10" s="30">
        <v>1320</v>
      </c>
      <c r="M10" s="30">
        <v>1320</v>
      </c>
      <c r="N10" s="30">
        <v>1240</v>
      </c>
      <c r="O10" s="30">
        <v>1300</v>
      </c>
      <c r="P10" s="30">
        <v>1240</v>
      </c>
      <c r="Q10" s="30">
        <v>240</v>
      </c>
      <c r="R10" s="30">
        <v>470</v>
      </c>
      <c r="S10" s="30">
        <v>705</v>
      </c>
      <c r="T10" s="30">
        <v>830</v>
      </c>
      <c r="U10" s="30">
        <v>760</v>
      </c>
    </row>
    <row r="11" spans="1:21" s="93" customFormat="1" ht="13.5" x14ac:dyDescent="0.2">
      <c r="A11" s="22" t="s">
        <v>117</v>
      </c>
      <c r="B11" s="27">
        <v>4.4000000000000004</v>
      </c>
      <c r="C11" s="27">
        <v>4.4000000000000004</v>
      </c>
      <c r="D11" s="27">
        <v>4.4000000000000004</v>
      </c>
      <c r="E11" s="27">
        <v>4.2</v>
      </c>
      <c r="F11" s="27">
        <v>4.3</v>
      </c>
      <c r="G11" s="27">
        <v>4.0999999999999996</v>
      </c>
      <c r="H11" s="27">
        <v>3.9</v>
      </c>
      <c r="I11" s="27">
        <v>4.0999999999999996</v>
      </c>
      <c r="J11" s="27">
        <v>4</v>
      </c>
      <c r="K11" s="27">
        <v>3.7</v>
      </c>
      <c r="L11" s="27">
        <v>3.8</v>
      </c>
      <c r="M11" s="27">
        <v>3.8</v>
      </c>
      <c r="N11" s="27">
        <v>3.6</v>
      </c>
      <c r="O11" s="27">
        <v>3.7</v>
      </c>
      <c r="P11" s="27">
        <v>3.5</v>
      </c>
      <c r="Q11" s="27">
        <v>0.7</v>
      </c>
      <c r="R11" s="27">
        <v>1.3</v>
      </c>
      <c r="S11" s="27">
        <v>1.9</v>
      </c>
      <c r="T11" s="27">
        <v>2.1</v>
      </c>
      <c r="U11" s="27">
        <v>2</v>
      </c>
    </row>
    <row r="12" spans="1:21" s="93" customFormat="1" ht="13.5" x14ac:dyDescent="0.2">
      <c r="A12" s="22" t="s">
        <v>118</v>
      </c>
      <c r="B12" s="43">
        <v>8.8320000000000007</v>
      </c>
      <c r="C12" s="43">
        <v>9.1999999999999993</v>
      </c>
      <c r="D12" s="43">
        <v>9.6289999999999996</v>
      </c>
      <c r="E12" s="43">
        <v>9.6</v>
      </c>
      <c r="F12" s="43">
        <v>10.6</v>
      </c>
      <c r="G12" s="43">
        <v>10.6</v>
      </c>
      <c r="H12" s="44">
        <v>10.199999999999999</v>
      </c>
      <c r="I12" s="44">
        <v>10.8</v>
      </c>
      <c r="J12" s="44">
        <v>10.9</v>
      </c>
      <c r="K12" s="44">
        <v>10.4</v>
      </c>
      <c r="L12" s="44">
        <v>11.1</v>
      </c>
      <c r="M12" s="44">
        <v>11.4</v>
      </c>
      <c r="N12" s="44">
        <v>11.1</v>
      </c>
      <c r="O12" s="44">
        <v>11.9</v>
      </c>
      <c r="P12" s="44">
        <v>11.4</v>
      </c>
      <c r="Q12" s="44">
        <v>2.2000000000000002</v>
      </c>
      <c r="R12" s="44">
        <v>4.5</v>
      </c>
      <c r="S12" s="44">
        <v>7.5</v>
      </c>
      <c r="T12" s="44">
        <v>9.1</v>
      </c>
      <c r="U12" s="44">
        <v>8.8000000000000007</v>
      </c>
    </row>
    <row r="13" spans="1:21" s="93" customFormat="1" x14ac:dyDescent="0.2">
      <c r="A13" s="22" t="s">
        <v>59</v>
      </c>
      <c r="B13" s="23" t="s">
        <v>27</v>
      </c>
      <c r="C13" s="23">
        <v>6.6</v>
      </c>
      <c r="D13" s="23">
        <v>6.9</v>
      </c>
      <c r="E13" s="23">
        <v>7.2</v>
      </c>
      <c r="F13" s="27">
        <v>7.5</v>
      </c>
      <c r="G13" s="23">
        <v>7.9</v>
      </c>
      <c r="H13" s="23">
        <v>7.93</v>
      </c>
      <c r="I13" s="23">
        <v>7.96</v>
      </c>
      <c r="J13" s="23">
        <v>8.1300000000000008</v>
      </c>
      <c r="K13" s="23">
        <v>8.17</v>
      </c>
      <c r="L13" s="23">
        <v>8.43</v>
      </c>
      <c r="M13" s="23">
        <v>8.65</v>
      </c>
      <c r="N13" s="23">
        <v>8.9700000000000006</v>
      </c>
      <c r="O13" s="23">
        <v>9.11</v>
      </c>
      <c r="P13" s="23">
        <v>9.16</v>
      </c>
      <c r="Q13" s="23">
        <v>9.18</v>
      </c>
      <c r="R13" s="23">
        <v>10.17</v>
      </c>
      <c r="S13" s="23">
        <v>10.53</v>
      </c>
      <c r="T13" s="23">
        <v>10.78</v>
      </c>
      <c r="U13" s="23">
        <v>11.31</v>
      </c>
    </row>
    <row r="14" spans="1:21" s="57" customFormat="1" ht="13.5" x14ac:dyDescent="0.2">
      <c r="A14" s="22" t="s">
        <v>76</v>
      </c>
      <c r="B14" s="23" t="s">
        <v>22</v>
      </c>
      <c r="C14" s="23" t="s">
        <v>22</v>
      </c>
      <c r="D14" s="23" t="s">
        <v>22</v>
      </c>
      <c r="E14" s="23" t="s">
        <v>22</v>
      </c>
      <c r="F14" s="23">
        <v>1.7</v>
      </c>
      <c r="G14" s="27">
        <v>1</v>
      </c>
      <c r="H14" s="23">
        <v>1.6</v>
      </c>
      <c r="I14" s="23">
        <v>2.2000000000000002</v>
      </c>
      <c r="J14" s="23">
        <v>0.6</v>
      </c>
      <c r="K14" s="23">
        <v>1.6</v>
      </c>
      <c r="L14" s="23">
        <v>1.1000000000000001</v>
      </c>
      <c r="M14" s="23">
        <v>0.4</v>
      </c>
      <c r="N14" s="23">
        <v>0.8</v>
      </c>
      <c r="O14" s="23">
        <v>0.3</v>
      </c>
      <c r="P14" s="23">
        <v>0.3</v>
      </c>
      <c r="Q14" s="23">
        <v>0.3</v>
      </c>
      <c r="R14" s="23">
        <v>0.2</v>
      </c>
      <c r="S14" s="23">
        <v>0.2</v>
      </c>
      <c r="T14" s="23">
        <v>0.2</v>
      </c>
      <c r="U14" s="23" t="s">
        <v>27</v>
      </c>
    </row>
    <row r="15" spans="1:21" s="57" customFormat="1" ht="11.25" x14ac:dyDescent="0.2">
      <c r="A15" s="39" t="s">
        <v>104</v>
      </c>
      <c r="B15" s="73"/>
      <c r="C15" s="73"/>
      <c r="D15" s="73"/>
    </row>
    <row r="16" spans="1:21" s="57" customFormat="1" ht="11.25" x14ac:dyDescent="0.2">
      <c r="A16" s="57" t="s">
        <v>105</v>
      </c>
      <c r="B16" s="73"/>
      <c r="C16" s="73"/>
      <c r="D16" s="73"/>
    </row>
    <row r="17" spans="1:1" x14ac:dyDescent="0.2">
      <c r="A17" s="28" t="s">
        <v>106</v>
      </c>
    </row>
    <row r="18" spans="1:1" x14ac:dyDescent="0.2">
      <c r="A18" s="28" t="s">
        <v>107</v>
      </c>
    </row>
    <row r="19" spans="1:1" ht="12.75" customHeight="1" x14ac:dyDescent="0.2">
      <c r="A19" s="39" t="s">
        <v>108</v>
      </c>
    </row>
    <row r="20" spans="1:1" x14ac:dyDescent="0.2">
      <c r="A20" s="57"/>
    </row>
  </sheetData>
  <phoneticPr fontId="2" type="noConversion"/>
  <hyperlinks>
    <hyperlink ref="A2" location="Sommaire!A1" display="Retour au menu &quot;Données internationales&quot;" xr:uid="{00000000-0004-0000-08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1"/>
  <sheetViews>
    <sheetView workbookViewId="0"/>
  </sheetViews>
  <sheetFormatPr baseColWidth="10" defaultColWidth="11.42578125" defaultRowHeight="12" x14ac:dyDescent="0.2"/>
  <cols>
    <col min="1" max="1" width="35.42578125" style="58" customWidth="1"/>
    <col min="2" max="16" width="5.42578125" style="58" bestFit="1" customWidth="1"/>
    <col min="17" max="17" width="6.42578125" style="58" customWidth="1"/>
    <col min="18" max="18" width="5.42578125" style="58" bestFit="1" customWidth="1"/>
    <col min="19" max="19" width="6" style="58" customWidth="1"/>
    <col min="20" max="20" width="6.28515625" style="58" customWidth="1"/>
    <col min="21" max="21" width="6" style="58" customWidth="1"/>
    <col min="22" max="16384" width="11.42578125" style="58"/>
  </cols>
  <sheetData>
    <row r="1" spans="1:21" s="50" customFormat="1" ht="12.75" x14ac:dyDescent="0.2"/>
    <row r="2" spans="1:21" s="66" customFormat="1" ht="12.75" x14ac:dyDescent="0.2">
      <c r="A2" s="51" t="s">
        <v>18</v>
      </c>
    </row>
    <row r="3" spans="1:21" s="50" customFormat="1" ht="12.75" x14ac:dyDescent="0.2"/>
    <row r="4" spans="1:21" s="50" customFormat="1" ht="12.75" x14ac:dyDescent="0.2"/>
    <row r="5" spans="1:21" ht="12.75" x14ac:dyDescent="0.2">
      <c r="A5" s="52" t="s">
        <v>53</v>
      </c>
    </row>
    <row r="6" spans="1:21" ht="3" customHeight="1" x14ac:dyDescent="0.2">
      <c r="A6" s="53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21" s="69" customFormat="1" x14ac:dyDescent="0.2">
      <c r="A7" s="54"/>
      <c r="B7" s="54">
        <v>2005</v>
      </c>
      <c r="C7" s="54">
        <v>2006</v>
      </c>
      <c r="D7" s="54">
        <v>2007</v>
      </c>
      <c r="E7" s="54">
        <v>2008</v>
      </c>
      <c r="F7" s="54">
        <v>2009</v>
      </c>
      <c r="G7" s="54">
        <v>2010</v>
      </c>
      <c r="H7" s="54">
        <v>2011</v>
      </c>
      <c r="I7" s="54">
        <v>2012</v>
      </c>
      <c r="J7" s="54">
        <v>2013</v>
      </c>
      <c r="K7" s="54">
        <v>2014</v>
      </c>
      <c r="L7" s="54">
        <v>2015</v>
      </c>
      <c r="M7" s="54">
        <v>2016</v>
      </c>
      <c r="N7" s="54">
        <v>2017</v>
      </c>
      <c r="O7" s="54">
        <v>2018</v>
      </c>
      <c r="P7" s="54">
        <v>2019</v>
      </c>
      <c r="Q7" s="54">
        <v>2020</v>
      </c>
      <c r="R7" s="54">
        <v>2021</v>
      </c>
      <c r="S7" s="54">
        <v>2022</v>
      </c>
      <c r="T7" s="54">
        <v>2023</v>
      </c>
      <c r="U7" s="54">
        <v>2024</v>
      </c>
    </row>
    <row r="8" spans="1:21" s="79" customFormat="1" ht="13.5" x14ac:dyDescent="0.2">
      <c r="A8" s="34" t="s">
        <v>115</v>
      </c>
      <c r="B8" s="35">
        <v>53</v>
      </c>
      <c r="C8" s="35">
        <v>64</v>
      </c>
      <c r="D8" s="35">
        <v>70</v>
      </c>
      <c r="E8" s="35">
        <v>70</v>
      </c>
      <c r="F8" s="35">
        <v>66</v>
      </c>
      <c r="G8" s="35">
        <v>69</v>
      </c>
      <c r="H8" s="35">
        <v>72</v>
      </c>
      <c r="I8" s="35">
        <v>112</v>
      </c>
      <c r="J8" s="35">
        <v>126</v>
      </c>
      <c r="K8" s="35">
        <v>130</v>
      </c>
      <c r="L8" s="35">
        <v>140</v>
      </c>
      <c r="M8" s="35">
        <v>162</v>
      </c>
      <c r="N8" s="35">
        <v>176</v>
      </c>
      <c r="O8" s="35">
        <v>186</v>
      </c>
      <c r="P8" s="35">
        <v>216</v>
      </c>
      <c r="Q8" s="35">
        <v>111</v>
      </c>
      <c r="R8" s="35">
        <v>259</v>
      </c>
      <c r="S8" s="35">
        <v>258</v>
      </c>
      <c r="T8" s="35">
        <v>234</v>
      </c>
      <c r="U8" s="35">
        <v>240</v>
      </c>
    </row>
    <row r="9" spans="1:21" s="79" customFormat="1" x14ac:dyDescent="0.2">
      <c r="A9" s="34" t="s">
        <v>12</v>
      </c>
      <c r="B9" s="36">
        <v>3491</v>
      </c>
      <c r="C9" s="36">
        <v>3536</v>
      </c>
      <c r="D9" s="36">
        <v>3892</v>
      </c>
      <c r="E9" s="36">
        <v>4497</v>
      </c>
      <c r="F9" s="36">
        <v>4727</v>
      </c>
      <c r="G9" s="36">
        <v>4946</v>
      </c>
      <c r="H9" s="36">
        <v>5166</v>
      </c>
      <c r="I9" s="36">
        <v>5303</v>
      </c>
      <c r="J9" s="36">
        <v>5547</v>
      </c>
      <c r="K9" s="36">
        <v>5678</v>
      </c>
      <c r="L9" s="36">
        <v>5977</v>
      </c>
      <c r="M9" s="36">
        <v>6225</v>
      </c>
      <c r="N9" s="36">
        <v>6633</v>
      </c>
      <c r="O9" s="36">
        <v>7024</v>
      </c>
      <c r="P9" s="36">
        <v>7493</v>
      </c>
      <c r="Q9" s="36">
        <v>7494</v>
      </c>
      <c r="R9" s="36">
        <v>7361</v>
      </c>
      <c r="S9" s="36">
        <v>7410</v>
      </c>
      <c r="T9" s="36">
        <v>7835</v>
      </c>
      <c r="U9" s="36">
        <v>7470</v>
      </c>
    </row>
    <row r="10" spans="1:21" s="93" customFormat="1" x14ac:dyDescent="0.2">
      <c r="A10" s="34" t="s">
        <v>0</v>
      </c>
      <c r="B10" s="38">
        <v>154</v>
      </c>
      <c r="C10" s="38">
        <v>168</v>
      </c>
      <c r="D10" s="38">
        <v>178</v>
      </c>
      <c r="E10" s="38">
        <v>174</v>
      </c>
      <c r="F10" s="38">
        <v>180</v>
      </c>
      <c r="G10" s="38">
        <v>189</v>
      </c>
      <c r="H10" s="38">
        <v>205</v>
      </c>
      <c r="I10" s="38">
        <v>229</v>
      </c>
      <c r="J10" s="38">
        <v>257</v>
      </c>
      <c r="K10" s="38">
        <v>257</v>
      </c>
      <c r="L10" s="38">
        <v>296</v>
      </c>
      <c r="M10" s="38">
        <v>331</v>
      </c>
      <c r="N10" s="38">
        <v>348</v>
      </c>
      <c r="O10" s="38">
        <v>332</v>
      </c>
      <c r="P10" s="38">
        <v>350</v>
      </c>
      <c r="Q10" s="38">
        <v>64.5</v>
      </c>
      <c r="R10" s="38">
        <v>113.6</v>
      </c>
      <c r="S10" s="38">
        <v>181.8</v>
      </c>
      <c r="T10" s="38">
        <v>233</v>
      </c>
      <c r="U10" s="38">
        <v>217</v>
      </c>
    </row>
    <row r="11" spans="1:21" s="93" customFormat="1" ht="13.5" x14ac:dyDescent="0.2">
      <c r="A11" s="34" t="s">
        <v>114</v>
      </c>
      <c r="B11" s="37">
        <v>1.5</v>
      </c>
      <c r="C11" s="37">
        <v>1.6</v>
      </c>
      <c r="D11" s="37">
        <v>1.7</v>
      </c>
      <c r="E11" s="37">
        <v>1.7</v>
      </c>
      <c r="F11" s="37">
        <v>1.6</v>
      </c>
      <c r="G11" s="37">
        <v>1.8</v>
      </c>
      <c r="H11" s="37">
        <v>1.9</v>
      </c>
      <c r="I11" s="37">
        <v>2</v>
      </c>
      <c r="J11" s="37">
        <v>2.2000000000000002</v>
      </c>
      <c r="K11" s="37">
        <v>2.1</v>
      </c>
      <c r="L11" s="37">
        <v>2.5</v>
      </c>
      <c r="M11" s="37">
        <v>2.7</v>
      </c>
      <c r="N11" s="37">
        <v>2.8</v>
      </c>
      <c r="O11" s="37">
        <v>2.7</v>
      </c>
      <c r="P11" s="37">
        <v>2.8</v>
      </c>
      <c r="Q11" s="37">
        <v>0.5</v>
      </c>
      <c r="R11" s="37">
        <v>0.9</v>
      </c>
      <c r="S11" s="37">
        <v>1.4</v>
      </c>
      <c r="T11" s="37">
        <v>1.7</v>
      </c>
      <c r="U11" s="37">
        <v>1.6</v>
      </c>
    </row>
    <row r="12" spans="1:21" s="93" customFormat="1" x14ac:dyDescent="0.2">
      <c r="A12" s="34" t="s">
        <v>49</v>
      </c>
      <c r="B12" s="38">
        <v>446</v>
      </c>
      <c r="C12" s="38">
        <v>475</v>
      </c>
      <c r="D12" s="38">
        <v>520</v>
      </c>
      <c r="E12" s="38">
        <v>550</v>
      </c>
      <c r="F12" s="38">
        <v>600</v>
      </c>
      <c r="G12" s="38">
        <v>717</v>
      </c>
      <c r="H12" s="38">
        <v>786</v>
      </c>
      <c r="I12" s="38">
        <v>812</v>
      </c>
      <c r="J12" s="38">
        <v>932</v>
      </c>
      <c r="K12" s="38">
        <v>903</v>
      </c>
      <c r="L12" s="38">
        <v>869</v>
      </c>
      <c r="M12" s="38">
        <v>817</v>
      </c>
      <c r="N12" s="38">
        <v>882</v>
      </c>
      <c r="O12" s="38">
        <v>874</v>
      </c>
      <c r="P12" s="38">
        <v>989</v>
      </c>
      <c r="Q12" s="38">
        <v>172</v>
      </c>
      <c r="R12" s="38">
        <v>370</v>
      </c>
      <c r="S12" s="38">
        <v>596</v>
      </c>
      <c r="T12" s="38">
        <v>879</v>
      </c>
      <c r="U12" s="38">
        <v>736</v>
      </c>
    </row>
    <row r="13" spans="1:21" s="93" customFormat="1" ht="13.5" x14ac:dyDescent="0.2">
      <c r="A13" s="34" t="s">
        <v>110</v>
      </c>
      <c r="B13" s="35">
        <v>5</v>
      </c>
      <c r="C13" s="35">
        <v>5</v>
      </c>
      <c r="D13" s="35">
        <v>8</v>
      </c>
      <c r="E13" s="35">
        <v>9</v>
      </c>
      <c r="F13" s="35">
        <v>5</v>
      </c>
      <c r="G13" s="35">
        <v>5.6</v>
      </c>
      <c r="H13" s="35">
        <v>7</v>
      </c>
      <c r="I13" s="35">
        <v>4.5</v>
      </c>
      <c r="J13" s="35">
        <v>10.9</v>
      </c>
      <c r="K13" s="35">
        <v>8.5</v>
      </c>
      <c r="L13" s="35">
        <v>5.3</v>
      </c>
      <c r="M13" s="35">
        <v>8.9</v>
      </c>
      <c r="N13" s="35">
        <v>6.1</v>
      </c>
      <c r="O13" s="35">
        <v>8.3000000000000007</v>
      </c>
      <c r="P13" s="35">
        <v>9.9</v>
      </c>
      <c r="Q13" s="35">
        <v>11.8</v>
      </c>
      <c r="R13" s="35">
        <v>4</v>
      </c>
      <c r="S13" s="35">
        <v>3.5</v>
      </c>
      <c r="T13" s="35">
        <v>5</v>
      </c>
      <c r="U13" s="35">
        <v>4.3</v>
      </c>
    </row>
    <row r="14" spans="1:21" s="93" customFormat="1" ht="13.5" x14ac:dyDescent="0.2">
      <c r="A14" s="34" t="s">
        <v>112</v>
      </c>
      <c r="B14" s="35" t="s">
        <v>22</v>
      </c>
      <c r="C14" s="35" t="s">
        <v>22</v>
      </c>
      <c r="D14" s="35" t="s">
        <v>22</v>
      </c>
      <c r="E14" s="35" t="s">
        <v>22</v>
      </c>
      <c r="F14" s="35" t="s">
        <v>22</v>
      </c>
      <c r="G14" s="35">
        <v>90</v>
      </c>
      <c r="H14" s="35">
        <v>89</v>
      </c>
      <c r="I14" s="35">
        <v>86</v>
      </c>
      <c r="J14" s="35">
        <v>79</v>
      </c>
      <c r="K14" s="35">
        <v>87</v>
      </c>
      <c r="L14" s="35">
        <v>84</v>
      </c>
      <c r="M14" s="35">
        <v>87</v>
      </c>
      <c r="N14" s="35">
        <v>88</v>
      </c>
      <c r="O14" s="35">
        <v>87</v>
      </c>
      <c r="P14" s="35">
        <v>86</v>
      </c>
      <c r="Q14" s="35">
        <v>80</v>
      </c>
      <c r="R14" s="35">
        <v>91</v>
      </c>
      <c r="S14" s="35">
        <v>88</v>
      </c>
      <c r="T14" s="35">
        <v>89</v>
      </c>
      <c r="U14" s="35" t="s">
        <v>27</v>
      </c>
    </row>
    <row r="15" spans="1:21" s="93" customFormat="1" ht="13.5" x14ac:dyDescent="0.2">
      <c r="A15" s="34" t="s">
        <v>113</v>
      </c>
      <c r="B15" s="35" t="s">
        <v>22</v>
      </c>
      <c r="C15" s="35" t="s">
        <v>22</v>
      </c>
      <c r="D15" s="35" t="s">
        <v>22</v>
      </c>
      <c r="E15" s="35" t="s">
        <v>22</v>
      </c>
      <c r="F15" s="35">
        <v>3</v>
      </c>
      <c r="G15" s="35">
        <v>3</v>
      </c>
      <c r="H15" s="35">
        <v>6</v>
      </c>
      <c r="I15" s="35">
        <v>4</v>
      </c>
      <c r="J15" s="35">
        <v>4</v>
      </c>
      <c r="K15" s="35">
        <v>2</v>
      </c>
      <c r="L15" s="35">
        <v>8</v>
      </c>
      <c r="M15" s="35">
        <v>2</v>
      </c>
      <c r="N15" s="35">
        <v>4</v>
      </c>
      <c r="O15" s="35">
        <v>3</v>
      </c>
      <c r="P15" s="35">
        <v>2</v>
      </c>
      <c r="Q15" s="35">
        <v>3</v>
      </c>
      <c r="R15" s="35">
        <v>3</v>
      </c>
      <c r="S15" s="35">
        <v>4</v>
      </c>
      <c r="T15" s="35">
        <v>2</v>
      </c>
      <c r="U15" s="35" t="s">
        <v>27</v>
      </c>
    </row>
    <row r="16" spans="1:21" s="93" customFormat="1" ht="13.5" x14ac:dyDescent="0.2">
      <c r="A16" s="22" t="s">
        <v>43</v>
      </c>
      <c r="B16" s="35" t="s">
        <v>22</v>
      </c>
      <c r="C16" s="35" t="s">
        <v>22</v>
      </c>
      <c r="D16" s="35" t="s">
        <v>22</v>
      </c>
      <c r="E16" s="35" t="s">
        <v>22</v>
      </c>
      <c r="F16" s="23">
        <v>2</v>
      </c>
      <c r="G16" s="23">
        <v>1</v>
      </c>
      <c r="H16" s="23">
        <v>1</v>
      </c>
      <c r="I16" s="23">
        <v>2.9</v>
      </c>
      <c r="J16" s="23">
        <v>0.7</v>
      </c>
      <c r="K16" s="23">
        <v>2.2000000000000002</v>
      </c>
      <c r="L16" s="23">
        <v>3.3</v>
      </c>
      <c r="M16" s="23">
        <v>0.7</v>
      </c>
      <c r="N16" s="23">
        <v>1.5</v>
      </c>
      <c r="O16" s="23">
        <v>0.8</v>
      </c>
      <c r="P16" s="23">
        <v>0.6</v>
      </c>
      <c r="Q16" s="23">
        <v>0.7</v>
      </c>
      <c r="R16" s="23">
        <v>0.8</v>
      </c>
      <c r="S16" s="23">
        <v>0.9</v>
      </c>
      <c r="T16" s="23">
        <v>0.5</v>
      </c>
      <c r="U16" s="23" t="s">
        <v>27</v>
      </c>
    </row>
    <row r="17" spans="1:7" s="93" customFormat="1" x14ac:dyDescent="0.2">
      <c r="A17" s="39" t="s">
        <v>111</v>
      </c>
      <c r="G17" s="71"/>
    </row>
    <row r="18" spans="1:7" s="93" customFormat="1" x14ac:dyDescent="0.2">
      <c r="A18" s="39" t="s">
        <v>105</v>
      </c>
      <c r="G18" s="71"/>
    </row>
    <row r="19" spans="1:7" s="93" customFormat="1" ht="13.5" x14ac:dyDescent="0.2">
      <c r="A19" s="94" t="s">
        <v>109</v>
      </c>
      <c r="G19" s="71"/>
    </row>
    <row r="20" spans="1:7" x14ac:dyDescent="0.2">
      <c r="A20" s="39" t="s">
        <v>74</v>
      </c>
    </row>
    <row r="21" spans="1:7" x14ac:dyDescent="0.2">
      <c r="A21" s="57"/>
    </row>
  </sheetData>
  <phoneticPr fontId="2" type="noConversion"/>
  <hyperlinks>
    <hyperlink ref="A2" location="Sommaire!A1" display="Retour au menu &quot;Données internationales&quot;" xr:uid="{00000000-0004-0000-09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0"/>
  <sheetViews>
    <sheetView zoomScaleNormal="100" workbookViewId="0"/>
  </sheetViews>
  <sheetFormatPr baseColWidth="10" defaultColWidth="11.42578125" defaultRowHeight="12" x14ac:dyDescent="0.2"/>
  <cols>
    <col min="1" max="1" width="20.140625" style="58" customWidth="1"/>
    <col min="2" max="18" width="5.42578125" style="58" bestFit="1" customWidth="1"/>
    <col min="19" max="19" width="5.5703125" style="58" customWidth="1"/>
    <col min="20" max="20" width="5.7109375" style="58" customWidth="1"/>
    <col min="21" max="21" width="6.5703125" style="58" customWidth="1"/>
    <col min="22" max="16384" width="11.42578125" style="58"/>
  </cols>
  <sheetData>
    <row r="1" spans="1:24" s="50" customFormat="1" ht="12.75" x14ac:dyDescent="0.2"/>
    <row r="2" spans="1:24" s="66" customFormat="1" ht="12.75" x14ac:dyDescent="0.2">
      <c r="A2" s="51" t="s">
        <v>18</v>
      </c>
    </row>
    <row r="3" spans="1:24" s="50" customFormat="1" ht="12.75" x14ac:dyDescent="0.2"/>
    <row r="4" spans="1:24" s="50" customFormat="1" ht="12.75" x14ac:dyDescent="0.2"/>
    <row r="5" spans="1:24" ht="12.75" x14ac:dyDescent="0.2">
      <c r="A5" s="52" t="s">
        <v>13</v>
      </c>
    </row>
    <row r="6" spans="1:24" ht="3" customHeight="1" x14ac:dyDescent="0.2">
      <c r="A6" s="53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 spans="1:24" s="69" customFormat="1" x14ac:dyDescent="0.2">
      <c r="A7" s="54"/>
      <c r="B7" s="54">
        <v>2005</v>
      </c>
      <c r="C7" s="54">
        <v>2006</v>
      </c>
      <c r="D7" s="54">
        <v>2007</v>
      </c>
      <c r="E7" s="54">
        <v>2008</v>
      </c>
      <c r="F7" s="54">
        <v>2009</v>
      </c>
      <c r="G7" s="54">
        <v>2010</v>
      </c>
      <c r="H7" s="54">
        <v>2011</v>
      </c>
      <c r="I7" s="54">
        <v>2012</v>
      </c>
      <c r="J7" s="54">
        <v>2013</v>
      </c>
      <c r="K7" s="54">
        <v>2014</v>
      </c>
      <c r="L7" s="54">
        <v>2015</v>
      </c>
      <c r="M7" s="54">
        <v>2016</v>
      </c>
      <c r="N7" s="54">
        <v>2017</v>
      </c>
      <c r="O7" s="54">
        <v>2018</v>
      </c>
      <c r="P7" s="54">
        <v>2019</v>
      </c>
      <c r="Q7" s="54">
        <v>2020</v>
      </c>
      <c r="R7" s="54">
        <v>2021</v>
      </c>
      <c r="S7" s="54">
        <v>2022</v>
      </c>
      <c r="T7" s="54">
        <v>2023</v>
      </c>
      <c r="U7" s="54">
        <v>2024</v>
      </c>
    </row>
    <row r="8" spans="1:24" x14ac:dyDescent="0.2">
      <c r="A8" s="22" t="s">
        <v>55</v>
      </c>
      <c r="B8" s="29">
        <v>731</v>
      </c>
      <c r="C8" s="29">
        <v>821</v>
      </c>
      <c r="D8" s="29">
        <v>810</v>
      </c>
      <c r="E8" s="29">
        <v>806</v>
      </c>
      <c r="F8" s="29">
        <v>762</v>
      </c>
      <c r="G8" s="29">
        <v>716</v>
      </c>
      <c r="H8" s="29">
        <v>799</v>
      </c>
      <c r="I8" s="29">
        <v>983</v>
      </c>
      <c r="J8" s="29">
        <v>1117</v>
      </c>
      <c r="K8" s="29">
        <v>1184</v>
      </c>
      <c r="L8" s="29">
        <v>1136</v>
      </c>
      <c r="M8" s="29">
        <v>1149</v>
      </c>
      <c r="N8" s="29">
        <v>1187</v>
      </c>
      <c r="O8" s="29">
        <v>1192</v>
      </c>
      <c r="P8" s="29">
        <v>1278</v>
      </c>
      <c r="Q8" s="29">
        <v>1017</v>
      </c>
      <c r="R8" s="29">
        <v>959</v>
      </c>
      <c r="S8" s="30">
        <v>1143</v>
      </c>
      <c r="T8" s="30">
        <v>1232</v>
      </c>
      <c r="U8" s="30">
        <v>1190</v>
      </c>
    </row>
    <row r="9" spans="1:24" x14ac:dyDescent="0.2">
      <c r="A9" s="22" t="s">
        <v>12</v>
      </c>
      <c r="B9" s="30">
        <v>2926</v>
      </c>
      <c r="C9" s="30">
        <v>3062</v>
      </c>
      <c r="D9" s="30">
        <v>3221</v>
      </c>
      <c r="E9" s="30">
        <v>3359</v>
      </c>
      <c r="F9" s="30">
        <v>3396</v>
      </c>
      <c r="G9" s="30">
        <v>3412</v>
      </c>
      <c r="H9" s="30">
        <v>3339</v>
      </c>
      <c r="I9" s="30">
        <v>3290</v>
      </c>
      <c r="J9" s="30">
        <v>3318</v>
      </c>
      <c r="K9" s="30">
        <v>3364</v>
      </c>
      <c r="L9" s="30">
        <v>3437</v>
      </c>
      <c r="M9" s="30">
        <v>3472</v>
      </c>
      <c r="N9" s="30">
        <v>3525</v>
      </c>
      <c r="O9" s="30">
        <v>3561</v>
      </c>
      <c r="P9" s="30">
        <v>3583</v>
      </c>
      <c r="Q9" s="30">
        <v>3616</v>
      </c>
      <c r="R9" s="30">
        <v>3648</v>
      </c>
      <c r="S9" s="30">
        <v>3634</v>
      </c>
      <c r="T9" s="30">
        <v>3653</v>
      </c>
      <c r="U9" s="30">
        <v>3675</v>
      </c>
    </row>
    <row r="10" spans="1:24" x14ac:dyDescent="0.2">
      <c r="A10" s="22" t="s">
        <v>0</v>
      </c>
      <c r="B10" s="31">
        <v>160.4</v>
      </c>
      <c r="C10" s="31">
        <v>164.6</v>
      </c>
      <c r="D10" s="31">
        <v>163.19999999999999</v>
      </c>
      <c r="E10" s="31">
        <v>160.5</v>
      </c>
      <c r="F10" s="31">
        <v>169.3</v>
      </c>
      <c r="G10" s="31">
        <v>174.4</v>
      </c>
      <c r="H10" s="31">
        <v>144.69999999999999</v>
      </c>
      <c r="I10" s="31">
        <v>155.19999999999999</v>
      </c>
      <c r="J10" s="31">
        <v>155.9</v>
      </c>
      <c r="K10" s="31">
        <v>161.1</v>
      </c>
      <c r="L10" s="31">
        <v>166.6</v>
      </c>
      <c r="M10" s="31">
        <v>180.2</v>
      </c>
      <c r="N10" s="31">
        <v>174.5</v>
      </c>
      <c r="O10" s="31">
        <v>169.2</v>
      </c>
      <c r="P10" s="31">
        <v>194.9</v>
      </c>
      <c r="Q10" s="31">
        <v>106.1</v>
      </c>
      <c r="R10" s="31">
        <v>114.8</v>
      </c>
      <c r="S10" s="31">
        <v>152</v>
      </c>
      <c r="T10" s="31">
        <v>155.5</v>
      </c>
      <c r="U10" s="31">
        <v>144.4</v>
      </c>
    </row>
    <row r="11" spans="1:24" ht="13.5" x14ac:dyDescent="0.2">
      <c r="A11" s="22" t="s">
        <v>119</v>
      </c>
      <c r="B11" s="31">
        <v>1.2</v>
      </c>
      <c r="C11" s="31">
        <v>1.3</v>
      </c>
      <c r="D11" s="31">
        <v>1.3</v>
      </c>
      <c r="E11" s="31">
        <v>1.2</v>
      </c>
      <c r="F11" s="31">
        <v>1.3</v>
      </c>
      <c r="G11" s="31">
        <v>1.4</v>
      </c>
      <c r="H11" s="31">
        <v>1.1000000000000001</v>
      </c>
      <c r="I11" s="31">
        <v>1.2</v>
      </c>
      <c r="J11" s="31">
        <v>1.2</v>
      </c>
      <c r="K11" s="31">
        <v>1.3</v>
      </c>
      <c r="L11" s="31">
        <v>1.3</v>
      </c>
      <c r="M11" s="31">
        <v>1.4</v>
      </c>
      <c r="N11" s="31">
        <v>1.4</v>
      </c>
      <c r="O11" s="31">
        <v>1.3</v>
      </c>
      <c r="P11" s="31">
        <v>1.5</v>
      </c>
      <c r="Q11" s="31">
        <v>0.8</v>
      </c>
      <c r="R11" s="31">
        <v>0.9</v>
      </c>
      <c r="S11" s="31">
        <v>1.2</v>
      </c>
      <c r="T11" s="31">
        <v>1.2</v>
      </c>
      <c r="U11" s="31">
        <v>1.2</v>
      </c>
    </row>
    <row r="12" spans="1:24" x14ac:dyDescent="0.2">
      <c r="A12" s="41" t="s">
        <v>64</v>
      </c>
      <c r="B12" s="31">
        <v>1.8018313481914505</v>
      </c>
      <c r="C12" s="31">
        <v>1.7447009998630325</v>
      </c>
      <c r="D12" s="31">
        <v>1.6862462015503876</v>
      </c>
      <c r="E12" s="31">
        <v>1.8793823548704498</v>
      </c>
      <c r="F12" s="31">
        <v>2.2000000000000002</v>
      </c>
      <c r="G12" s="31">
        <v>2.5</v>
      </c>
      <c r="H12" s="31">
        <v>2.2999999999999998</v>
      </c>
      <c r="I12" s="31">
        <v>2.4</v>
      </c>
      <c r="J12" s="31">
        <v>2</v>
      </c>
      <c r="K12" s="31">
        <v>2</v>
      </c>
      <c r="L12" s="31">
        <v>1.8</v>
      </c>
      <c r="M12" s="31">
        <v>2.2000000000000002</v>
      </c>
      <c r="N12" s="31">
        <v>2</v>
      </c>
      <c r="O12" s="31">
        <v>2</v>
      </c>
      <c r="P12" s="31">
        <v>2.4</v>
      </c>
      <c r="Q12" s="31">
        <v>1.3</v>
      </c>
      <c r="R12" s="31">
        <v>1.2</v>
      </c>
      <c r="S12" s="31">
        <v>1.6</v>
      </c>
      <c r="T12" s="31">
        <v>1.6</v>
      </c>
      <c r="U12" s="31">
        <v>1.4</v>
      </c>
    </row>
    <row r="13" spans="1:24" x14ac:dyDescent="0.2">
      <c r="A13" s="41" t="s">
        <v>59</v>
      </c>
      <c r="B13" s="102">
        <v>11.227354767994155</v>
      </c>
      <c r="C13" s="102">
        <v>10.602347623613204</v>
      </c>
      <c r="D13" s="102">
        <v>10.335057364341086</v>
      </c>
      <c r="E13" s="102">
        <v>11.712372581174156</v>
      </c>
      <c r="F13" s="102">
        <v>13</v>
      </c>
      <c r="G13" s="102">
        <v>14.4</v>
      </c>
      <c r="H13" s="102">
        <v>15.7</v>
      </c>
      <c r="I13" s="102">
        <v>15.77</v>
      </c>
      <c r="J13" s="102">
        <v>12.76</v>
      </c>
      <c r="K13" s="102">
        <v>12.17</v>
      </c>
      <c r="L13" s="102">
        <v>10.76</v>
      </c>
      <c r="M13" s="102">
        <v>12.04</v>
      </c>
      <c r="N13" s="102">
        <v>11.68</v>
      </c>
      <c r="O13" s="102">
        <v>11.91</v>
      </c>
      <c r="P13" s="102">
        <v>12.3</v>
      </c>
      <c r="Q13" s="102">
        <v>12.65</v>
      </c>
      <c r="R13" s="102">
        <v>12.84</v>
      </c>
      <c r="S13" s="102">
        <v>10.7</v>
      </c>
      <c r="T13" s="102">
        <v>10.130000000000001</v>
      </c>
      <c r="U13" s="102">
        <v>9.9499999999999993</v>
      </c>
    </row>
    <row r="14" spans="1:24" ht="13.5" x14ac:dyDescent="0.2">
      <c r="A14" s="41" t="s">
        <v>26</v>
      </c>
      <c r="B14" s="31">
        <v>41.3</v>
      </c>
      <c r="C14" s="31">
        <v>53.2</v>
      </c>
      <c r="D14" s="31">
        <v>47.7</v>
      </c>
      <c r="E14" s="31">
        <v>59.5</v>
      </c>
      <c r="F14" s="31">
        <v>56.9</v>
      </c>
      <c r="G14" s="31">
        <v>53.6</v>
      </c>
      <c r="H14" s="31">
        <v>54.9</v>
      </c>
      <c r="I14" s="31">
        <v>65.7</v>
      </c>
      <c r="J14" s="31">
        <v>60.6</v>
      </c>
      <c r="K14" s="31">
        <v>58.3</v>
      </c>
      <c r="L14" s="31">
        <v>55.4</v>
      </c>
      <c r="M14" s="31">
        <v>63.1</v>
      </c>
      <c r="N14" s="31">
        <v>54.9</v>
      </c>
      <c r="O14" s="31">
        <v>54.8</v>
      </c>
      <c r="P14" s="31">
        <v>54.4</v>
      </c>
      <c r="Q14" s="31">
        <v>76.3</v>
      </c>
      <c r="R14" s="31">
        <v>79.3</v>
      </c>
      <c r="S14" s="31">
        <v>68.8</v>
      </c>
      <c r="T14" s="31">
        <v>66.900000000000006</v>
      </c>
      <c r="U14" s="31">
        <v>75.3</v>
      </c>
    </row>
    <row r="15" spans="1:24" ht="13.5" x14ac:dyDescent="0.2">
      <c r="A15" s="41" t="s">
        <v>43</v>
      </c>
      <c r="B15" s="29" t="s">
        <v>22</v>
      </c>
      <c r="C15" s="29" t="s">
        <v>22</v>
      </c>
      <c r="D15" s="29" t="s">
        <v>22</v>
      </c>
      <c r="E15" s="29" t="s">
        <v>22</v>
      </c>
      <c r="F15" s="29">
        <v>1.6</v>
      </c>
      <c r="G15" s="29">
        <v>2.1</v>
      </c>
      <c r="H15" s="29">
        <v>0.6</v>
      </c>
      <c r="I15" s="29">
        <v>1.6</v>
      </c>
      <c r="J15" s="29">
        <v>1.1000000000000001</v>
      </c>
      <c r="K15" s="29">
        <v>2.2000000000000002</v>
      </c>
      <c r="L15" s="29">
        <v>1.4</v>
      </c>
      <c r="M15" s="29">
        <v>0.7</v>
      </c>
      <c r="N15" s="29">
        <v>0.7</v>
      </c>
      <c r="O15" s="29">
        <v>0.7</v>
      </c>
      <c r="P15" s="29">
        <v>0.7</v>
      </c>
      <c r="Q15" s="29">
        <v>0.6</v>
      </c>
      <c r="R15" s="29">
        <v>0.6</v>
      </c>
      <c r="S15" s="29">
        <v>0.5</v>
      </c>
      <c r="T15" s="29">
        <v>0.7</v>
      </c>
      <c r="U15" s="29" t="s">
        <v>27</v>
      </c>
    </row>
    <row r="16" spans="1:24" x14ac:dyDescent="0.2">
      <c r="A16" s="39" t="s">
        <v>120</v>
      </c>
      <c r="B16" s="93"/>
      <c r="C16" s="93"/>
      <c r="D16" s="93"/>
      <c r="E16" s="93"/>
      <c r="F16" s="93"/>
      <c r="G16" s="67"/>
      <c r="T16" s="95"/>
      <c r="U16" s="95"/>
      <c r="V16" s="95"/>
      <c r="W16" s="95"/>
      <c r="X16" s="95"/>
    </row>
    <row r="17" spans="1:7" ht="13.5" x14ac:dyDescent="0.2">
      <c r="A17" s="40" t="s">
        <v>121</v>
      </c>
      <c r="B17" s="93"/>
      <c r="C17" s="93"/>
      <c r="D17" s="93"/>
      <c r="E17" s="93"/>
      <c r="F17" s="93"/>
      <c r="G17" s="67"/>
    </row>
    <row r="18" spans="1:7" ht="13.5" x14ac:dyDescent="0.2">
      <c r="A18" s="40" t="s">
        <v>122</v>
      </c>
      <c r="B18" s="93"/>
      <c r="C18" s="93"/>
      <c r="D18" s="93"/>
      <c r="E18" s="93"/>
      <c r="F18" s="93"/>
      <c r="G18" s="67"/>
    </row>
    <row r="19" spans="1:7" x14ac:dyDescent="0.2">
      <c r="A19" s="104" t="s">
        <v>78</v>
      </c>
      <c r="B19" s="104"/>
      <c r="C19" s="104"/>
      <c r="D19" s="104"/>
      <c r="E19" s="104"/>
      <c r="F19" s="104"/>
      <c r="G19" s="67"/>
    </row>
    <row r="20" spans="1:7" x14ac:dyDescent="0.2">
      <c r="A20" s="57"/>
    </row>
  </sheetData>
  <mergeCells count="1">
    <mergeCell ref="A19:F19"/>
  </mergeCells>
  <phoneticPr fontId="2" type="noConversion"/>
  <hyperlinks>
    <hyperlink ref="A2" location="Sommaire!A1" display="Retour au menu &quot;Données internationales&quot;" xr:uid="{00000000-0004-0000-0A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1"/>
  <sheetViews>
    <sheetView zoomScaleNormal="100" workbookViewId="0"/>
  </sheetViews>
  <sheetFormatPr baseColWidth="10" defaultColWidth="11.42578125" defaultRowHeight="12" x14ac:dyDescent="0.2"/>
  <cols>
    <col min="1" max="1" width="25.5703125" style="58" customWidth="1"/>
    <col min="2" max="14" width="6.42578125" style="58" bestFit="1" customWidth="1"/>
    <col min="15" max="15" width="6.85546875" style="58" customWidth="1"/>
    <col min="16" max="16" width="7.140625" style="58" customWidth="1"/>
    <col min="17" max="17" width="7.85546875" style="58" customWidth="1"/>
    <col min="18" max="16384" width="11.42578125" style="58"/>
  </cols>
  <sheetData>
    <row r="1" spans="1:20" s="50" customFormat="1" ht="12.75" x14ac:dyDescent="0.2"/>
    <row r="2" spans="1:20" s="66" customFormat="1" ht="12.75" x14ac:dyDescent="0.2">
      <c r="A2" s="51" t="s">
        <v>18</v>
      </c>
    </row>
    <row r="3" spans="1:20" s="50" customFormat="1" ht="12.75" x14ac:dyDescent="0.2"/>
    <row r="4" spans="1:20" s="50" customFormat="1" ht="12.75" x14ac:dyDescent="0.2"/>
    <row r="5" spans="1:20" ht="12.75" x14ac:dyDescent="0.2">
      <c r="A5" s="52" t="s">
        <v>70</v>
      </c>
    </row>
    <row r="6" spans="1:20" ht="3" customHeight="1" x14ac:dyDescent="0.2">
      <c r="A6" s="53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</row>
    <row r="7" spans="1:20" s="69" customFormat="1" x14ac:dyDescent="0.2">
      <c r="A7" s="54"/>
      <c r="B7" s="54">
        <v>2009</v>
      </c>
      <c r="C7" s="54">
        <v>2010</v>
      </c>
      <c r="D7" s="54">
        <v>2011</v>
      </c>
      <c r="E7" s="54">
        <v>2012</v>
      </c>
      <c r="F7" s="54">
        <v>2013</v>
      </c>
      <c r="G7" s="54">
        <v>2014</v>
      </c>
      <c r="H7" s="54">
        <v>2015</v>
      </c>
      <c r="I7" s="54">
        <v>2016</v>
      </c>
      <c r="J7" s="54">
        <v>2017</v>
      </c>
      <c r="K7" s="54">
        <v>2018</v>
      </c>
      <c r="L7" s="54">
        <v>2019</v>
      </c>
      <c r="M7" s="54">
        <v>2020</v>
      </c>
      <c r="N7" s="54">
        <v>2021</v>
      </c>
      <c r="O7" s="54">
        <v>2022</v>
      </c>
      <c r="P7" s="54">
        <v>2023</v>
      </c>
      <c r="Q7" s="54">
        <v>2024</v>
      </c>
    </row>
    <row r="8" spans="1:20" ht="13.5" x14ac:dyDescent="0.2">
      <c r="A8" s="46" t="s">
        <v>25</v>
      </c>
      <c r="B8" s="29">
        <v>456</v>
      </c>
      <c r="C8" s="29">
        <v>526</v>
      </c>
      <c r="D8" s="29">
        <v>558</v>
      </c>
      <c r="E8" s="29">
        <v>745</v>
      </c>
      <c r="F8" s="29">
        <v>638</v>
      </c>
      <c r="G8" s="29">
        <v>618</v>
      </c>
      <c r="H8" s="29">
        <v>838</v>
      </c>
      <c r="I8" s="29">
        <v>944</v>
      </c>
      <c r="J8" s="29">
        <v>970</v>
      </c>
      <c r="K8" s="29">
        <v>1082</v>
      </c>
      <c r="L8" s="29">
        <v>1037</v>
      </c>
      <c r="M8" s="29">
        <v>650</v>
      </c>
      <c r="N8" s="29">
        <v>740</v>
      </c>
      <c r="O8" s="29" t="s">
        <v>27</v>
      </c>
      <c r="P8" s="29" t="s">
        <v>27</v>
      </c>
      <c r="Q8" s="29" t="s">
        <v>27</v>
      </c>
    </row>
    <row r="9" spans="1:20" x14ac:dyDescent="0.2">
      <c r="A9" s="47" t="s">
        <v>12</v>
      </c>
      <c r="B9" s="30">
        <v>4723</v>
      </c>
      <c r="C9" s="30">
        <v>6200</v>
      </c>
      <c r="D9" s="30">
        <v>9286</v>
      </c>
      <c r="E9" s="30">
        <v>13118</v>
      </c>
      <c r="F9" s="30">
        <v>18195</v>
      </c>
      <c r="G9" s="30">
        <v>23600</v>
      </c>
      <c r="H9" s="30">
        <v>31627</v>
      </c>
      <c r="I9" s="30">
        <v>41179</v>
      </c>
      <c r="J9" s="30">
        <v>50776</v>
      </c>
      <c r="K9" s="30">
        <v>60079</v>
      </c>
      <c r="L9" s="30">
        <v>69787</v>
      </c>
      <c r="M9" s="30">
        <v>75581</v>
      </c>
      <c r="N9" s="30">
        <v>82248</v>
      </c>
      <c r="O9" s="30">
        <v>77302</v>
      </c>
      <c r="P9" s="30">
        <v>86300</v>
      </c>
      <c r="Q9" s="30">
        <v>90968</v>
      </c>
    </row>
    <row r="10" spans="1:20" x14ac:dyDescent="0.2">
      <c r="A10" s="47" t="s">
        <v>0</v>
      </c>
      <c r="B10" s="33">
        <v>264</v>
      </c>
      <c r="C10" s="33">
        <v>290</v>
      </c>
      <c r="D10" s="33">
        <v>370</v>
      </c>
      <c r="E10" s="33">
        <v>470</v>
      </c>
      <c r="F10" s="33">
        <v>631</v>
      </c>
      <c r="G10" s="33">
        <v>830</v>
      </c>
      <c r="H10" s="33" t="s">
        <v>71</v>
      </c>
      <c r="I10" s="33" t="s">
        <v>72</v>
      </c>
      <c r="J10" s="33">
        <v>1620</v>
      </c>
      <c r="K10" s="33">
        <v>1720</v>
      </c>
      <c r="L10" s="33">
        <v>1730</v>
      </c>
      <c r="M10" s="33">
        <v>548</v>
      </c>
      <c r="N10" s="33">
        <v>1170</v>
      </c>
      <c r="O10" s="33">
        <v>712</v>
      </c>
      <c r="P10" s="103">
        <v>1300</v>
      </c>
      <c r="Q10" s="103">
        <v>1000</v>
      </c>
    </row>
    <row r="11" spans="1:20" ht="13.5" x14ac:dyDescent="0.2">
      <c r="A11" s="47" t="s">
        <v>40</v>
      </c>
      <c r="B11" s="31">
        <v>0.3</v>
      </c>
      <c r="C11" s="31">
        <v>0.3</v>
      </c>
      <c r="D11" s="31">
        <v>0.3</v>
      </c>
      <c r="E11" s="31">
        <v>0.4</v>
      </c>
      <c r="F11" s="31">
        <v>0.5</v>
      </c>
      <c r="G11" s="31">
        <v>0.6</v>
      </c>
      <c r="H11" s="31">
        <v>0.9</v>
      </c>
      <c r="I11" s="31">
        <v>1</v>
      </c>
      <c r="J11" s="31">
        <v>1.2</v>
      </c>
      <c r="K11" s="31">
        <v>1.2</v>
      </c>
      <c r="L11" s="31">
        <v>1.2</v>
      </c>
      <c r="M11" s="31">
        <v>0.4</v>
      </c>
      <c r="N11" s="31">
        <v>0.8</v>
      </c>
      <c r="O11" s="31">
        <v>0.5</v>
      </c>
      <c r="P11" s="31">
        <v>0.9</v>
      </c>
      <c r="Q11" s="31">
        <v>0.7</v>
      </c>
    </row>
    <row r="12" spans="1:20" x14ac:dyDescent="0.2">
      <c r="A12" s="47" t="s">
        <v>64</v>
      </c>
      <c r="B12" s="31">
        <v>0.9</v>
      </c>
      <c r="C12" s="31">
        <v>1.5</v>
      </c>
      <c r="D12" s="31">
        <v>2</v>
      </c>
      <c r="E12" s="31">
        <v>2.7</v>
      </c>
      <c r="F12" s="31">
        <v>3.5</v>
      </c>
      <c r="G12" s="31">
        <v>3.9</v>
      </c>
      <c r="H12" s="31">
        <v>6.8</v>
      </c>
      <c r="I12" s="31">
        <v>6.6</v>
      </c>
      <c r="J12" s="31">
        <v>8.6</v>
      </c>
      <c r="K12" s="31">
        <v>8.9</v>
      </c>
      <c r="L12" s="31">
        <v>9.1999999999999993</v>
      </c>
      <c r="M12" s="31">
        <v>3.1</v>
      </c>
      <c r="N12" s="31">
        <v>7.4</v>
      </c>
      <c r="O12" s="31">
        <v>4.4000000000000004</v>
      </c>
      <c r="P12" s="31">
        <v>7.7</v>
      </c>
      <c r="Q12" s="31">
        <v>5.9</v>
      </c>
    </row>
    <row r="13" spans="1:20" ht="13.5" x14ac:dyDescent="0.2">
      <c r="A13" s="47" t="s">
        <v>73</v>
      </c>
      <c r="B13" s="31">
        <v>56.6</v>
      </c>
      <c r="C13" s="31">
        <v>56.3</v>
      </c>
      <c r="D13" s="31">
        <v>53.6</v>
      </c>
      <c r="E13" s="31">
        <v>45</v>
      </c>
      <c r="F13" s="31">
        <v>58.7</v>
      </c>
      <c r="G13" s="31">
        <v>54.5</v>
      </c>
      <c r="H13" s="31">
        <v>61.6</v>
      </c>
      <c r="I13" s="31">
        <v>58.3</v>
      </c>
      <c r="J13" s="31">
        <v>53.8</v>
      </c>
      <c r="K13" s="31">
        <v>62.2</v>
      </c>
      <c r="L13" s="31">
        <v>64.099999999999994</v>
      </c>
      <c r="M13" s="31">
        <v>83.7</v>
      </c>
      <c r="N13" s="31">
        <v>84.5</v>
      </c>
      <c r="O13" s="31">
        <v>85</v>
      </c>
      <c r="P13" s="31">
        <v>83.8</v>
      </c>
      <c r="Q13" s="31">
        <v>78.7</v>
      </c>
    </row>
    <row r="14" spans="1:20" ht="13.5" x14ac:dyDescent="0.2">
      <c r="A14" s="47" t="s">
        <v>112</v>
      </c>
      <c r="B14" s="31" t="s">
        <v>22</v>
      </c>
      <c r="C14" s="31" t="s">
        <v>22</v>
      </c>
      <c r="D14" s="31" t="s">
        <v>22</v>
      </c>
      <c r="E14" s="31">
        <v>50.6</v>
      </c>
      <c r="F14" s="31">
        <v>40</v>
      </c>
      <c r="G14" s="31">
        <v>42.3</v>
      </c>
      <c r="H14" s="31">
        <v>38.4</v>
      </c>
      <c r="I14" s="31">
        <v>41.7</v>
      </c>
      <c r="J14" s="31">
        <v>41.7</v>
      </c>
      <c r="K14" s="31">
        <v>32</v>
      </c>
      <c r="L14" s="31">
        <v>30</v>
      </c>
      <c r="M14" s="31">
        <v>12.3</v>
      </c>
      <c r="N14" s="31">
        <v>11.4</v>
      </c>
      <c r="O14" s="31">
        <v>12.1</v>
      </c>
      <c r="P14" s="31" t="s">
        <v>27</v>
      </c>
      <c r="Q14" s="31" t="s">
        <v>27</v>
      </c>
    </row>
    <row r="15" spans="1:20" ht="13.5" x14ac:dyDescent="0.2">
      <c r="A15" s="47" t="s">
        <v>76</v>
      </c>
      <c r="B15" s="29">
        <v>1</v>
      </c>
      <c r="C15" s="29">
        <v>0.7</v>
      </c>
      <c r="D15" s="29">
        <v>0.4</v>
      </c>
      <c r="E15" s="29">
        <v>1</v>
      </c>
      <c r="F15" s="29">
        <v>1</v>
      </c>
      <c r="G15" s="29">
        <v>2.2000000000000002</v>
      </c>
      <c r="H15" s="29">
        <v>1.2</v>
      </c>
      <c r="I15" s="29">
        <v>0.1</v>
      </c>
      <c r="J15" s="29">
        <v>0.8</v>
      </c>
      <c r="K15" s="29">
        <v>0.1</v>
      </c>
      <c r="L15" s="29">
        <v>0.1</v>
      </c>
      <c r="M15" s="29">
        <v>0.1</v>
      </c>
      <c r="N15" s="29">
        <v>0.2</v>
      </c>
      <c r="O15" s="29">
        <v>0.1</v>
      </c>
      <c r="P15" s="29" t="s">
        <v>27</v>
      </c>
      <c r="Q15" s="29" t="s">
        <v>27</v>
      </c>
    </row>
    <row r="16" spans="1:20" x14ac:dyDescent="0.2">
      <c r="A16" s="61" t="s">
        <v>54</v>
      </c>
      <c r="B16" s="93"/>
      <c r="C16" s="67"/>
      <c r="P16" s="95"/>
      <c r="Q16" s="95"/>
      <c r="R16" s="95"/>
      <c r="S16" s="95"/>
      <c r="T16" s="95"/>
    </row>
    <row r="17" spans="1:3" x14ac:dyDescent="0.2">
      <c r="A17" s="61" t="s">
        <v>123</v>
      </c>
      <c r="B17" s="39"/>
      <c r="C17" s="67"/>
    </row>
    <row r="18" spans="1:3" ht="13.5" x14ac:dyDescent="0.2">
      <c r="A18" s="21" t="s">
        <v>124</v>
      </c>
      <c r="B18" s="39"/>
      <c r="C18" s="67"/>
    </row>
    <row r="19" spans="1:3" x14ac:dyDescent="0.2">
      <c r="A19" s="21" t="s">
        <v>125</v>
      </c>
      <c r="B19" s="39"/>
      <c r="C19" s="67"/>
    </row>
    <row r="20" spans="1:3" x14ac:dyDescent="0.2">
      <c r="A20" s="61" t="s">
        <v>79</v>
      </c>
      <c r="B20" s="39"/>
      <c r="C20" s="67"/>
    </row>
    <row r="21" spans="1:3" x14ac:dyDescent="0.2">
      <c r="A21" s="57"/>
    </row>
  </sheetData>
  <hyperlinks>
    <hyperlink ref="A2" location="Sommaire!A1" display="Retour au menu &quot;Données internationales&quot;" xr:uid="{00000000-0004-0000-0B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 xml:space="preserve">&amp;L&amp;"Arial,Gras italique"&amp;9&amp;G&amp;R&amp;"Arial,Gras italique"&amp;9Données internationales
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20</vt:i4>
      </vt:variant>
    </vt:vector>
  </HeadingPairs>
  <TitlesOfParts>
    <vt:vector size="32" baseType="lpstr">
      <vt:lpstr>Sommaire</vt:lpstr>
      <vt:lpstr>Définitions</vt:lpstr>
      <vt:lpstr>U.E.</vt:lpstr>
      <vt:lpstr>Allemagne</vt:lpstr>
      <vt:lpstr>Espagne</vt:lpstr>
      <vt:lpstr>Italie</vt:lpstr>
      <vt:lpstr>Royaume-Uni</vt:lpstr>
      <vt:lpstr>Russie</vt:lpstr>
      <vt:lpstr>Etats-Unis</vt:lpstr>
      <vt:lpstr>Mexique</vt:lpstr>
      <vt:lpstr>Japon</vt:lpstr>
      <vt:lpstr>Chine</vt:lpstr>
      <vt:lpstr>Allemagne!Impression_des_titres</vt:lpstr>
      <vt:lpstr>Chine!Impression_des_titres</vt:lpstr>
      <vt:lpstr>Espagne!Impression_des_titres</vt:lpstr>
      <vt:lpstr>'Etats-Unis'!Impression_des_titres</vt:lpstr>
      <vt:lpstr>Italie!Impression_des_titres</vt:lpstr>
      <vt:lpstr>Japon!Impression_des_titres</vt:lpstr>
      <vt:lpstr>Mexique!Impression_des_titres</vt:lpstr>
      <vt:lpstr>'Royaume-Uni'!Impression_des_titres</vt:lpstr>
      <vt:lpstr>Russie!Impression_des_titres</vt:lpstr>
      <vt:lpstr>Allemagne!Zone_d_impression</vt:lpstr>
      <vt:lpstr>Chine!Zone_d_impression</vt:lpstr>
      <vt:lpstr>Définitions!Zone_d_impression</vt:lpstr>
      <vt:lpstr>Espagne!Zone_d_impression</vt:lpstr>
      <vt:lpstr>'Etats-Unis'!Zone_d_impression</vt:lpstr>
      <vt:lpstr>Italie!Zone_d_impression</vt:lpstr>
      <vt:lpstr>Japon!Zone_d_impression</vt:lpstr>
      <vt:lpstr>Mexique!Zone_d_impression</vt:lpstr>
      <vt:lpstr>'Royaume-Uni'!Zone_d_impression</vt:lpstr>
      <vt:lpstr>Russie!Zone_d_impression</vt:lpstr>
      <vt:lpstr>U.E.!Zone_d_impression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N C</dc:creator>
  <cp:lastModifiedBy>Jardillier Sophie</cp:lastModifiedBy>
  <cp:lastPrinted>2011-04-11T14:22:19Z</cp:lastPrinted>
  <dcterms:created xsi:type="dcterms:W3CDTF">2008-10-16T13:59:18Z</dcterms:created>
  <dcterms:modified xsi:type="dcterms:W3CDTF">2025-07-01T12:46:04Z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795e33b3a77f404a9f33a95b2d4eba87</vt:lpwstr>
  </property>
</Properties>
</file>