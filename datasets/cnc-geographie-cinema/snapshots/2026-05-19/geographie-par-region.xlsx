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M:\groupe\BO\ETUDOC\SITE INTERNET CNC\Cinéma\Exploitation\"/>
    </mc:Choice>
  </mc:AlternateContent>
  <xr:revisionPtr revIDLastSave="0" documentId="8_{3C380805-DD3C-4B82-9F3C-9498EDA9738B}" xr6:coauthVersionLast="47" xr6:coauthVersionMax="47" xr10:uidLastSave="{00000000-0000-0000-0000-000000000000}"/>
  <bookViews>
    <workbookView xWindow="-120" yWindow="-120" windowWidth="29040" windowHeight="15720" xr2:uid="{00000000-000D-0000-FFFF-FFFF00000000}"/>
  </bookViews>
  <sheets>
    <sheet name="Sommaire" sheetId="18" r:id="rId1"/>
    <sheet name="Définitions" sheetId="19" r:id="rId2"/>
    <sheet name="Fiche" sheetId="55" r:id="rId3"/>
    <sheet name="établissements" sheetId="2" r:id="rId4"/>
    <sheet name="écrans" sheetId="1" r:id="rId5"/>
    <sheet name="fauteuils" sheetId="4" r:id="rId6"/>
    <sheet name="multiplexes" sheetId="5" r:id="rId7"/>
    <sheet name="séances" sheetId="10" r:id="rId8"/>
    <sheet name="entrées" sheetId="16" r:id="rId9"/>
    <sheet name="recettes" sheetId="17" r:id="rId10"/>
    <sheet name="RME" sheetId="11" r:id="rId11"/>
    <sheet name="indice de fréquentation" sheetId="13" r:id="rId12"/>
    <sheet name="taux d'occupation des fauteuils" sheetId="14" r:id="rId13"/>
    <sheet name="étabAE" sheetId="6" r:id="rId14"/>
    <sheet name="écransAE" sheetId="20" r:id="rId15"/>
    <sheet name="fauteuilsAE" sheetId="21" r:id="rId16"/>
    <sheet name="séances AE" sheetId="22" r:id="rId17"/>
    <sheet name="entréesAE" sheetId="23" r:id="rId18"/>
    <sheet name="recettesAE" sheetId="24" r:id="rId19"/>
    <sheet name="RMEAE" sheetId="25" r:id="rId20"/>
    <sheet name="indice de fréquentationAE" sheetId="26" r:id="rId21"/>
    <sheet name="tmofAE" sheetId="27" r:id="rId22"/>
    <sheet name="étabP" sheetId="28" r:id="rId23"/>
    <sheet name="écransP" sheetId="29" r:id="rId24"/>
    <sheet name="fauteuilsP" sheetId="30" r:id="rId25"/>
    <sheet name="séancesP" sheetId="31" r:id="rId26"/>
    <sheet name="entréesP" sheetId="32" r:id="rId27"/>
    <sheet name="recettesP" sheetId="33" r:id="rId28"/>
    <sheet name="RMEP" sheetId="34" r:id="rId29"/>
    <sheet name="indice de fréquentationP" sheetId="35" r:id="rId30"/>
    <sheet name="tmofP" sheetId="36" r:id="rId31"/>
    <sheet name="étabM" sheetId="37" r:id="rId32"/>
    <sheet name="écransM" sheetId="38" r:id="rId33"/>
    <sheet name="fauteuilsM" sheetId="39" r:id="rId34"/>
    <sheet name="séancesM" sheetId="40" r:id="rId35"/>
    <sheet name="entréesM" sheetId="41" r:id="rId36"/>
    <sheet name="recettesM" sheetId="42" r:id="rId37"/>
    <sheet name="RMEM" sheetId="43" r:id="rId38"/>
    <sheet name="indice de fréquentationM" sheetId="44" r:id="rId39"/>
    <sheet name="tmofM" sheetId="45" r:id="rId40"/>
    <sheet name="étabG" sheetId="46" r:id="rId41"/>
    <sheet name="écransG" sheetId="47" r:id="rId42"/>
    <sheet name="fauteuilsG" sheetId="48" r:id="rId43"/>
    <sheet name="séancesG" sheetId="49" r:id="rId44"/>
    <sheet name="entréesG" sheetId="50" r:id="rId45"/>
    <sheet name="recettesG" sheetId="51" r:id="rId46"/>
    <sheet name="RMEG" sheetId="52" r:id="rId47"/>
    <sheet name="indice de fréquentationG" sheetId="53" r:id="rId48"/>
    <sheet name="tmofG" sheetId="54" r:id="rId49"/>
  </sheets>
  <externalReferences>
    <externalReference r:id="rId50"/>
  </externalReferences>
  <definedNames>
    <definedName name="Departements">[1]établissements!$B$8:$B$103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1" i="2" l="1"/>
  <c r="C21" i="2"/>
  <c r="D21" i="2"/>
  <c r="E21" i="2"/>
  <c r="F21" i="2"/>
  <c r="G21" i="2"/>
  <c r="H21" i="2"/>
  <c r="I21" i="2"/>
  <c r="J21" i="2"/>
  <c r="K21" i="2"/>
  <c r="L21" i="2"/>
  <c r="M21" i="2"/>
  <c r="N21" i="2"/>
  <c r="O21" i="2"/>
  <c r="P21" i="2"/>
  <c r="Q21" i="2"/>
  <c r="R21" i="2"/>
  <c r="S21" i="2"/>
  <c r="T21" i="2"/>
  <c r="U21" i="2"/>
  <c r="V21" i="2"/>
  <c r="W21" i="2"/>
  <c r="X21" i="2"/>
  <c r="Y21" i="2"/>
  <c r="Z21" i="2"/>
  <c r="AA21" i="2"/>
  <c r="B8" i="55" l="1"/>
  <c r="T78" i="55" l="1"/>
  <c r="T86" i="55"/>
  <c r="T71" i="55"/>
  <c r="T56" i="55"/>
  <c r="V41" i="55"/>
  <c r="AF24" i="55"/>
  <c r="T50" i="55"/>
  <c r="V44" i="55"/>
  <c r="W44" i="55"/>
  <c r="T52" i="55"/>
  <c r="W37" i="55"/>
  <c r="T53" i="55"/>
  <c r="W38" i="55"/>
  <c r="V39" i="55"/>
  <c r="U54" i="55"/>
  <c r="AF23" i="55"/>
  <c r="U78" i="55"/>
  <c r="U86" i="55"/>
  <c r="U71" i="55"/>
  <c r="U56" i="55"/>
  <c r="W41" i="55"/>
  <c r="AG24" i="55"/>
  <c r="T65" i="55"/>
  <c r="V43" i="55"/>
  <c r="AF27" i="55"/>
  <c r="W36" i="55"/>
  <c r="U82" i="55"/>
  <c r="AF29" i="55"/>
  <c r="T84" i="55"/>
  <c r="W39" i="55"/>
  <c r="U70" i="55"/>
  <c r="T79" i="55"/>
  <c r="T64" i="55"/>
  <c r="T72" i="55"/>
  <c r="T57" i="55"/>
  <c r="V42" i="55"/>
  <c r="AF25" i="55"/>
  <c r="T58" i="55"/>
  <c r="V36" i="55"/>
  <c r="AG27" i="55"/>
  <c r="AF21" i="55"/>
  <c r="U52" i="55"/>
  <c r="U83" i="55"/>
  <c r="U84" i="55"/>
  <c r="U55" i="55"/>
  <c r="U79" i="55"/>
  <c r="U64" i="55"/>
  <c r="U72" i="55"/>
  <c r="U57" i="55"/>
  <c r="W42" i="55"/>
  <c r="AG25" i="55"/>
  <c r="T80" i="55"/>
  <c r="AF26" i="55"/>
  <c r="U66" i="55"/>
  <c r="AF28" i="55"/>
  <c r="U67" i="55"/>
  <c r="AD21" i="55"/>
  <c r="U53" i="55"/>
  <c r="AF30" i="55"/>
  <c r="U69" i="55"/>
  <c r="V40" i="55"/>
  <c r="W40" i="55"/>
  <c r="U80" i="55"/>
  <c r="U65" i="55"/>
  <c r="U50" i="55"/>
  <c r="U58" i="55"/>
  <c r="W43" i="55"/>
  <c r="AG26" i="55"/>
  <c r="U51" i="55"/>
  <c r="V37" i="55"/>
  <c r="AE21" i="55"/>
  <c r="T68" i="55"/>
  <c r="T69" i="55"/>
  <c r="T85" i="55"/>
  <c r="T81" i="55"/>
  <c r="T66" i="55"/>
  <c r="T51" i="55"/>
  <c r="T67" i="55"/>
  <c r="AG28" i="55"/>
  <c r="V38" i="55"/>
  <c r="AG21" i="55"/>
  <c r="AF22" i="55"/>
  <c r="T70" i="55"/>
  <c r="AG23" i="55"/>
  <c r="U81" i="55"/>
  <c r="U68" i="55"/>
  <c r="U85" i="55"/>
  <c r="T82" i="55"/>
  <c r="AG29" i="55"/>
  <c r="T54" i="55"/>
  <c r="AG30" i="55"/>
  <c r="T55" i="55"/>
  <c r="AG22" i="55"/>
  <c r="T83" i="55"/>
  <c r="S84" i="55"/>
  <c r="S54" i="55"/>
  <c r="AE24" i="55"/>
  <c r="R82" i="55"/>
  <c r="R67" i="55"/>
  <c r="R52" i="55"/>
  <c r="T37" i="55"/>
  <c r="AC22" i="55"/>
  <c r="AC30" i="55"/>
  <c r="R68" i="55"/>
  <c r="T38" i="55"/>
  <c r="Q66" i="55"/>
  <c r="S82" i="55"/>
  <c r="S85" i="55"/>
  <c r="S55" i="55"/>
  <c r="AE25" i="55"/>
  <c r="Q83" i="55"/>
  <c r="Q68" i="55"/>
  <c r="Q53" i="55"/>
  <c r="S38" i="55"/>
  <c r="AD22" i="55"/>
  <c r="AD30" i="55"/>
  <c r="R83" i="55"/>
  <c r="AC23" i="55"/>
  <c r="AD28" i="55"/>
  <c r="R66" i="55"/>
  <c r="Q67" i="55"/>
  <c r="S86" i="55"/>
  <c r="S56" i="55"/>
  <c r="AE26" i="55"/>
  <c r="R53" i="55"/>
  <c r="S83" i="55"/>
  <c r="S64" i="55"/>
  <c r="S57" i="55"/>
  <c r="AE27" i="55"/>
  <c r="Q84" i="55"/>
  <c r="Q69" i="55"/>
  <c r="Q54" i="55"/>
  <c r="S39" i="55"/>
  <c r="AD23" i="55"/>
  <c r="R79" i="55"/>
  <c r="R58" i="55"/>
  <c r="Q51" i="55"/>
  <c r="T44" i="55"/>
  <c r="S37" i="55"/>
  <c r="S65" i="55"/>
  <c r="S58" i="55"/>
  <c r="AE28" i="55"/>
  <c r="R84" i="55"/>
  <c r="R69" i="55"/>
  <c r="R54" i="55"/>
  <c r="T39" i="55"/>
  <c r="AC24" i="55"/>
  <c r="R72" i="55"/>
  <c r="R65" i="55"/>
  <c r="AC28" i="55"/>
  <c r="Q81" i="55"/>
  <c r="R51" i="55"/>
  <c r="AE23" i="55"/>
  <c r="AD29" i="55"/>
  <c r="S66" i="55"/>
  <c r="U36" i="55"/>
  <c r="AE29" i="55"/>
  <c r="Q85" i="55"/>
  <c r="Q70" i="55"/>
  <c r="Q55" i="55"/>
  <c r="S40" i="55"/>
  <c r="AD24" i="55"/>
  <c r="R64" i="55"/>
  <c r="S81" i="55"/>
  <c r="S53" i="55"/>
  <c r="S67" i="55"/>
  <c r="U37" i="55"/>
  <c r="AE30" i="55"/>
  <c r="R85" i="55"/>
  <c r="R70" i="55"/>
  <c r="R55" i="55"/>
  <c r="T40" i="55"/>
  <c r="AC25" i="55"/>
  <c r="AC27" i="55"/>
  <c r="S50" i="55"/>
  <c r="S68" i="55"/>
  <c r="U38" i="55"/>
  <c r="Q78" i="55"/>
  <c r="Q86" i="55"/>
  <c r="Q71" i="55"/>
  <c r="Q56" i="55"/>
  <c r="S41" i="55"/>
  <c r="AD25" i="55"/>
  <c r="R57" i="55"/>
  <c r="R50" i="55"/>
  <c r="S51" i="55"/>
  <c r="S69" i="55"/>
  <c r="U39" i="55"/>
  <c r="R78" i="55"/>
  <c r="R86" i="55"/>
  <c r="R71" i="55"/>
  <c r="R56" i="55"/>
  <c r="T41" i="55"/>
  <c r="AC26" i="55"/>
  <c r="T42" i="55"/>
  <c r="R80" i="55"/>
  <c r="S36" i="55"/>
  <c r="AE22" i="55"/>
  <c r="S70" i="55"/>
  <c r="U40" i="55"/>
  <c r="Q79" i="55"/>
  <c r="Q64" i="55"/>
  <c r="Q72" i="55"/>
  <c r="Q57" i="55"/>
  <c r="S42" i="55"/>
  <c r="AD26" i="55"/>
  <c r="S80" i="55"/>
  <c r="S44" i="55"/>
  <c r="R81" i="55"/>
  <c r="AC21" i="55"/>
  <c r="S78" i="55"/>
  <c r="S71" i="55"/>
  <c r="U41" i="55"/>
  <c r="T36" i="55"/>
  <c r="Q82" i="55"/>
  <c r="S79" i="55"/>
  <c r="S72" i="55"/>
  <c r="U42" i="55"/>
  <c r="Q80" i="55"/>
  <c r="Q65" i="55"/>
  <c r="Q50" i="55"/>
  <c r="Q58" i="55"/>
  <c r="S43" i="55"/>
  <c r="AD27" i="55"/>
  <c r="U43" i="55"/>
  <c r="T43" i="55"/>
  <c r="U44" i="55"/>
  <c r="S52" i="55"/>
  <c r="AC29" i="55"/>
  <c r="Q52" i="55"/>
  <c r="P50" i="55"/>
  <c r="P54" i="55"/>
  <c r="P58" i="55"/>
  <c r="P67" i="55"/>
  <c r="P71" i="55"/>
  <c r="P80" i="55"/>
  <c r="P84" i="55"/>
  <c r="R37" i="55"/>
  <c r="R41" i="55"/>
  <c r="AB21" i="55"/>
  <c r="AB25" i="55"/>
  <c r="AB29" i="55"/>
  <c r="P57" i="55"/>
  <c r="P79" i="55"/>
  <c r="R36" i="55"/>
  <c r="AB24" i="55"/>
  <c r="P51" i="55"/>
  <c r="P55" i="55"/>
  <c r="P64" i="55"/>
  <c r="P68" i="55"/>
  <c r="P72" i="55"/>
  <c r="P81" i="55"/>
  <c r="P85" i="55"/>
  <c r="R38" i="55"/>
  <c r="R42" i="55"/>
  <c r="AB22" i="55"/>
  <c r="AB26" i="55"/>
  <c r="AB30" i="55"/>
  <c r="P66" i="55"/>
  <c r="R44" i="55"/>
  <c r="P52" i="55"/>
  <c r="P56" i="55"/>
  <c r="P65" i="55"/>
  <c r="P69" i="55"/>
  <c r="P78" i="55"/>
  <c r="P82" i="55"/>
  <c r="P86" i="55"/>
  <c r="R39" i="55"/>
  <c r="R43" i="55"/>
  <c r="AB23" i="55"/>
  <c r="AB27" i="55"/>
  <c r="P53" i="55"/>
  <c r="P70" i="55"/>
  <c r="P83" i="55"/>
  <c r="R40" i="55"/>
  <c r="AB28" i="55"/>
  <c r="AA30" i="55"/>
  <c r="W30" i="55"/>
  <c r="S30" i="55"/>
  <c r="O30" i="55"/>
  <c r="K30" i="55"/>
  <c r="G30" i="55"/>
  <c r="C30" i="55"/>
  <c r="Y29" i="55"/>
  <c r="U29" i="55"/>
  <c r="Q29" i="55"/>
  <c r="M29" i="55"/>
  <c r="I29" i="55"/>
  <c r="E29" i="55"/>
  <c r="AA28" i="55"/>
  <c r="W28" i="55"/>
  <c r="S28" i="55"/>
  <c r="O28" i="55"/>
  <c r="K28" i="55"/>
  <c r="G28" i="55"/>
  <c r="C28" i="55"/>
  <c r="Y27" i="55"/>
  <c r="U27" i="55"/>
  <c r="Q27" i="55"/>
  <c r="M27" i="55"/>
  <c r="I27" i="55"/>
  <c r="E27" i="55"/>
  <c r="AA26" i="55"/>
  <c r="W26" i="55"/>
  <c r="S26" i="55"/>
  <c r="O26" i="55"/>
  <c r="K26" i="55"/>
  <c r="G26" i="55"/>
  <c r="C26" i="55"/>
  <c r="Y25" i="55"/>
  <c r="U25" i="55"/>
  <c r="Q25" i="55"/>
  <c r="M25" i="55"/>
  <c r="I25" i="55"/>
  <c r="E25" i="55"/>
  <c r="AA24" i="55"/>
  <c r="W24" i="55"/>
  <c r="S24" i="55"/>
  <c r="O24" i="55"/>
  <c r="K24" i="55"/>
  <c r="G24" i="55"/>
  <c r="C24" i="55"/>
  <c r="Y23" i="55"/>
  <c r="U23" i="55"/>
  <c r="Q23" i="55"/>
  <c r="M23" i="55"/>
  <c r="I23" i="55"/>
  <c r="E23" i="55"/>
  <c r="AA22" i="55"/>
  <c r="W22" i="55"/>
  <c r="S22" i="55"/>
  <c r="O22" i="55"/>
  <c r="K22" i="55"/>
  <c r="G22" i="55"/>
  <c r="C22" i="55"/>
  <c r="Y21" i="55"/>
  <c r="U21" i="55"/>
  <c r="Q21" i="55"/>
  <c r="M21" i="55"/>
  <c r="I21" i="55"/>
  <c r="E21" i="55"/>
  <c r="AA18" i="55"/>
  <c r="W18" i="55"/>
  <c r="S18" i="55"/>
  <c r="O18" i="55"/>
  <c r="K18" i="55"/>
  <c r="G18" i="55"/>
  <c r="C18" i="55"/>
  <c r="Y17" i="55"/>
  <c r="U17" i="55"/>
  <c r="Q17" i="55"/>
  <c r="M17" i="55"/>
  <c r="I17" i="55"/>
  <c r="E17" i="55"/>
  <c r="AA16" i="55"/>
  <c r="W16" i="55"/>
  <c r="S16" i="55"/>
  <c r="O16" i="55"/>
  <c r="K16" i="55"/>
  <c r="G16" i="55"/>
  <c r="C16" i="55"/>
  <c r="Z30" i="55"/>
  <c r="V30" i="55"/>
  <c r="R30" i="55"/>
  <c r="N30" i="55"/>
  <c r="J30" i="55"/>
  <c r="F30" i="55"/>
  <c r="B30" i="55"/>
  <c r="X29" i="55"/>
  <c r="T29" i="55"/>
  <c r="P29" i="55"/>
  <c r="L29" i="55"/>
  <c r="H29" i="55"/>
  <c r="D29" i="55"/>
  <c r="Z28" i="55"/>
  <c r="V28" i="55"/>
  <c r="R28" i="55"/>
  <c r="N28" i="55"/>
  <c r="J28" i="55"/>
  <c r="F28" i="55"/>
  <c r="B28" i="55"/>
  <c r="X27" i="55"/>
  <c r="T27" i="55"/>
  <c r="P27" i="55"/>
  <c r="L27" i="55"/>
  <c r="H27" i="55"/>
  <c r="D27" i="55"/>
  <c r="Z26" i="55"/>
  <c r="V26" i="55"/>
  <c r="R26" i="55"/>
  <c r="N26" i="55"/>
  <c r="J26" i="55"/>
  <c r="F26" i="55"/>
  <c r="B26" i="55"/>
  <c r="X25" i="55"/>
  <c r="T25" i="55"/>
  <c r="P25" i="55"/>
  <c r="L25" i="55"/>
  <c r="H25" i="55"/>
  <c r="D25" i="55"/>
  <c r="Z24" i="55"/>
  <c r="V24" i="55"/>
  <c r="R24" i="55"/>
  <c r="N24" i="55"/>
  <c r="J24" i="55"/>
  <c r="F24" i="55"/>
  <c r="B24" i="55"/>
  <c r="X23" i="55"/>
  <c r="T23" i="55"/>
  <c r="P23" i="55"/>
  <c r="L23" i="55"/>
  <c r="H23" i="55"/>
  <c r="D23" i="55"/>
  <c r="Z22" i="55"/>
  <c r="V22" i="55"/>
  <c r="R22" i="55"/>
  <c r="N22" i="55"/>
  <c r="J22" i="55"/>
  <c r="F22" i="55"/>
  <c r="B22" i="55"/>
  <c r="X21" i="55"/>
  <c r="T21" i="55"/>
  <c r="P21" i="55"/>
  <c r="L21" i="55"/>
  <c r="H21" i="55"/>
  <c r="D21" i="55"/>
  <c r="Z18" i="55"/>
  <c r="V18" i="55"/>
  <c r="R18" i="55"/>
  <c r="N18" i="55"/>
  <c r="J18" i="55"/>
  <c r="F18" i="55"/>
  <c r="B18" i="55"/>
  <c r="X17" i="55"/>
  <c r="T17" i="55"/>
  <c r="P17" i="55"/>
  <c r="L17" i="55"/>
  <c r="H17" i="55"/>
  <c r="D17" i="55"/>
  <c r="Z16" i="55"/>
  <c r="V16" i="55"/>
  <c r="R16" i="55"/>
  <c r="N16" i="55"/>
  <c r="J16" i="55"/>
  <c r="F16" i="55"/>
  <c r="B16" i="55"/>
  <c r="Y30" i="55"/>
  <c r="U30" i="55"/>
  <c r="Q30" i="55"/>
  <c r="M30" i="55"/>
  <c r="I30" i="55"/>
  <c r="E30" i="55"/>
  <c r="AA29" i="55"/>
  <c r="W29" i="55"/>
  <c r="S29" i="55"/>
  <c r="O29" i="55"/>
  <c r="K29" i="55"/>
  <c r="G29" i="55"/>
  <c r="C29" i="55"/>
  <c r="Y28" i="55"/>
  <c r="U28" i="55"/>
  <c r="Q28" i="55"/>
  <c r="M28" i="55"/>
  <c r="I28" i="55"/>
  <c r="E28" i="55"/>
  <c r="AA27" i="55"/>
  <c r="W27" i="55"/>
  <c r="S27" i="55"/>
  <c r="O27" i="55"/>
  <c r="K27" i="55"/>
  <c r="G27" i="55"/>
  <c r="C27" i="55"/>
  <c r="Y26" i="55"/>
  <c r="U26" i="55"/>
  <c r="Q26" i="55"/>
  <c r="M26" i="55"/>
  <c r="I26" i="55"/>
  <c r="E26" i="55"/>
  <c r="AA25" i="55"/>
  <c r="W25" i="55"/>
  <c r="S25" i="55"/>
  <c r="O25" i="55"/>
  <c r="K25" i="55"/>
  <c r="G25" i="55"/>
  <c r="C25" i="55"/>
  <c r="Y24" i="55"/>
  <c r="U24" i="55"/>
  <c r="Q24" i="55"/>
  <c r="M24" i="55"/>
  <c r="I24" i="55"/>
  <c r="E24" i="55"/>
  <c r="AA23" i="55"/>
  <c r="W23" i="55"/>
  <c r="S23" i="55"/>
  <c r="O23" i="55"/>
  <c r="K23" i="55"/>
  <c r="G23" i="55"/>
  <c r="C23" i="55"/>
  <c r="Y22" i="55"/>
  <c r="U22" i="55"/>
  <c r="Q22" i="55"/>
  <c r="M22" i="55"/>
  <c r="I22" i="55"/>
  <c r="E22" i="55"/>
  <c r="AA21" i="55"/>
  <c r="W21" i="55"/>
  <c r="S21" i="55"/>
  <c r="O21" i="55"/>
  <c r="K21" i="55"/>
  <c r="G21" i="55"/>
  <c r="C21" i="55"/>
  <c r="Y18" i="55"/>
  <c r="U18" i="55"/>
  <c r="Q18" i="55"/>
  <c r="M18" i="55"/>
  <c r="I18" i="55"/>
  <c r="E18" i="55"/>
  <c r="AA17" i="55"/>
  <c r="W17" i="55"/>
  <c r="S17" i="55"/>
  <c r="O17" i="55"/>
  <c r="K17" i="55"/>
  <c r="G17" i="55"/>
  <c r="C17" i="55"/>
  <c r="Y16" i="55"/>
  <c r="U16" i="55"/>
  <c r="Q16" i="55"/>
  <c r="M16" i="55"/>
  <c r="I16" i="55"/>
  <c r="E16" i="55"/>
  <c r="AA15" i="55"/>
  <c r="X30" i="55"/>
  <c r="H30" i="55"/>
  <c r="R29" i="55"/>
  <c r="B29" i="55"/>
  <c r="L28" i="55"/>
  <c r="V27" i="55"/>
  <c r="F27" i="55"/>
  <c r="P26" i="55"/>
  <c r="Z25" i="55"/>
  <c r="J25" i="55"/>
  <c r="T24" i="55"/>
  <c r="D24" i="55"/>
  <c r="N23" i="55"/>
  <c r="X22" i="55"/>
  <c r="H22" i="55"/>
  <c r="R21" i="55"/>
  <c r="B21" i="55"/>
  <c r="L18" i="55"/>
  <c r="V17" i="55"/>
  <c r="F17" i="55"/>
  <c r="P16" i="55"/>
  <c r="Z15" i="55"/>
  <c r="V15" i="55"/>
  <c r="R15" i="55"/>
  <c r="N15" i="55"/>
  <c r="J15" i="55"/>
  <c r="F15" i="55"/>
  <c r="B15" i="55"/>
  <c r="X14" i="55"/>
  <c r="T14" i="55"/>
  <c r="P14" i="55"/>
  <c r="L14" i="55"/>
  <c r="H14" i="55"/>
  <c r="D14" i="55"/>
  <c r="Z13" i="55"/>
  <c r="V13" i="55"/>
  <c r="R13" i="55"/>
  <c r="N13" i="55"/>
  <c r="J13" i="55"/>
  <c r="F13" i="55"/>
  <c r="B13" i="55"/>
  <c r="F50" i="55"/>
  <c r="J50" i="55"/>
  <c r="N50" i="55"/>
  <c r="E51" i="55"/>
  <c r="I51" i="55"/>
  <c r="M51" i="55"/>
  <c r="D52" i="55"/>
  <c r="H52" i="55"/>
  <c r="L52" i="55"/>
  <c r="C53" i="55"/>
  <c r="G53" i="55"/>
  <c r="K53" i="55"/>
  <c r="O53" i="55"/>
  <c r="F54" i="55"/>
  <c r="J54" i="55"/>
  <c r="N54" i="55"/>
  <c r="E55" i="55"/>
  <c r="I55" i="55"/>
  <c r="M55" i="55"/>
  <c r="D56" i="55"/>
  <c r="H56" i="55"/>
  <c r="L56" i="55"/>
  <c r="C57" i="55"/>
  <c r="G57" i="55"/>
  <c r="K57" i="55"/>
  <c r="O57" i="55"/>
  <c r="F58" i="55"/>
  <c r="J58" i="55"/>
  <c r="N58" i="55"/>
  <c r="E56" i="55"/>
  <c r="M56" i="55"/>
  <c r="D57" i="55"/>
  <c r="L57" i="55"/>
  <c r="C58" i="55"/>
  <c r="K58" i="55"/>
  <c r="O58" i="55"/>
  <c r="F29" i="55"/>
  <c r="Z27" i="55"/>
  <c r="T26" i="55"/>
  <c r="D26" i="55"/>
  <c r="H24" i="55"/>
  <c r="R23" i="55"/>
  <c r="L22" i="55"/>
  <c r="F21" i="55"/>
  <c r="T30" i="55"/>
  <c r="D30" i="55"/>
  <c r="N29" i="55"/>
  <c r="X28" i="55"/>
  <c r="H28" i="55"/>
  <c r="R27" i="55"/>
  <c r="B27" i="55"/>
  <c r="L26" i="55"/>
  <c r="V25" i="55"/>
  <c r="F25" i="55"/>
  <c r="P24" i="55"/>
  <c r="Z23" i="55"/>
  <c r="J23" i="55"/>
  <c r="T22" i="55"/>
  <c r="D22" i="55"/>
  <c r="N21" i="55"/>
  <c r="X18" i="55"/>
  <c r="H18" i="55"/>
  <c r="R17" i="55"/>
  <c r="B17" i="55"/>
  <c r="L16" i="55"/>
  <c r="Y15" i="55"/>
  <c r="U15" i="55"/>
  <c r="Q15" i="55"/>
  <c r="M15" i="55"/>
  <c r="I15" i="55"/>
  <c r="E15" i="55"/>
  <c r="AA14" i="55"/>
  <c r="W14" i="55"/>
  <c r="S14" i="55"/>
  <c r="O14" i="55"/>
  <c r="K14" i="55"/>
  <c r="G14" i="55"/>
  <c r="C14" i="55"/>
  <c r="Y13" i="55"/>
  <c r="U13" i="55"/>
  <c r="Q13" i="55"/>
  <c r="M13" i="55"/>
  <c r="I13" i="55"/>
  <c r="E13" i="55"/>
  <c r="C50" i="55"/>
  <c r="G50" i="55"/>
  <c r="K50" i="55"/>
  <c r="O50" i="55"/>
  <c r="F51" i="55"/>
  <c r="J51" i="55"/>
  <c r="N51" i="55"/>
  <c r="E52" i="55"/>
  <c r="I52" i="55"/>
  <c r="M52" i="55"/>
  <c r="D53" i="55"/>
  <c r="H53" i="55"/>
  <c r="L53" i="55"/>
  <c r="C54" i="55"/>
  <c r="G54" i="55"/>
  <c r="K54" i="55"/>
  <c r="O54" i="55"/>
  <c r="F55" i="55"/>
  <c r="J55" i="55"/>
  <c r="N55" i="55"/>
  <c r="I56" i="55"/>
  <c r="H57" i="55"/>
  <c r="G58" i="55"/>
  <c r="P30" i="55"/>
  <c r="Z29" i="55"/>
  <c r="J29" i="55"/>
  <c r="T28" i="55"/>
  <c r="D28" i="55"/>
  <c r="N27" i="55"/>
  <c r="X26" i="55"/>
  <c r="H26" i="55"/>
  <c r="R25" i="55"/>
  <c r="B25" i="55"/>
  <c r="L24" i="55"/>
  <c r="V23" i="55"/>
  <c r="F23" i="55"/>
  <c r="P22" i="55"/>
  <c r="Z21" i="55"/>
  <c r="J21" i="55"/>
  <c r="T18" i="55"/>
  <c r="D18" i="55"/>
  <c r="N17" i="55"/>
  <c r="X16" i="55"/>
  <c r="H16" i="55"/>
  <c r="X15" i="55"/>
  <c r="T15" i="55"/>
  <c r="P15" i="55"/>
  <c r="L15" i="55"/>
  <c r="H15" i="55"/>
  <c r="D15" i="55"/>
  <c r="Z14" i="55"/>
  <c r="V14" i="55"/>
  <c r="R14" i="55"/>
  <c r="N14" i="55"/>
  <c r="J14" i="55"/>
  <c r="F14" i="55"/>
  <c r="B14" i="55"/>
  <c r="X13" i="55"/>
  <c r="T13" i="55"/>
  <c r="P13" i="55"/>
  <c r="L13" i="55"/>
  <c r="H13" i="55"/>
  <c r="D13" i="55"/>
  <c r="D50" i="55"/>
  <c r="H50" i="55"/>
  <c r="L50" i="55"/>
  <c r="C51" i="55"/>
  <c r="G51" i="55"/>
  <c r="K51" i="55"/>
  <c r="O51" i="55"/>
  <c r="F52" i="55"/>
  <c r="J52" i="55"/>
  <c r="N52" i="55"/>
  <c r="E53" i="55"/>
  <c r="I53" i="55"/>
  <c r="M53" i="55"/>
  <c r="D54" i="55"/>
  <c r="H54" i="55"/>
  <c r="L54" i="55"/>
  <c r="C55" i="55"/>
  <c r="G55" i="55"/>
  <c r="K55" i="55"/>
  <c r="O55" i="55"/>
  <c r="F56" i="55"/>
  <c r="J56" i="55"/>
  <c r="N56" i="55"/>
  <c r="E57" i="55"/>
  <c r="I57" i="55"/>
  <c r="M57" i="55"/>
  <c r="D58" i="55"/>
  <c r="H58" i="55"/>
  <c r="L58" i="55"/>
  <c r="L30" i="55"/>
  <c r="P28" i="55"/>
  <c r="J27" i="55"/>
  <c r="N25" i="55"/>
  <c r="X24" i="55"/>
  <c r="B23" i="55"/>
  <c r="V21" i="55"/>
  <c r="P18" i="55"/>
  <c r="V29" i="55"/>
  <c r="D16" i="55"/>
  <c r="K15" i="55"/>
  <c r="U14" i="55"/>
  <c r="E14" i="55"/>
  <c r="O13" i="55"/>
  <c r="E50" i="55"/>
  <c r="H51" i="55"/>
  <c r="K52" i="55"/>
  <c r="N53" i="55"/>
  <c r="D55" i="55"/>
  <c r="G56" i="55"/>
  <c r="J57" i="55"/>
  <c r="Z17" i="55"/>
  <c r="W15" i="55"/>
  <c r="G15" i="55"/>
  <c r="Q14" i="55"/>
  <c r="AA13" i="55"/>
  <c r="K13" i="55"/>
  <c r="I50" i="55"/>
  <c r="L51" i="55"/>
  <c r="O52" i="55"/>
  <c r="E54" i="55"/>
  <c r="H55" i="55"/>
  <c r="K56" i="55"/>
  <c r="N57" i="55"/>
  <c r="J17" i="55"/>
  <c r="S15" i="55"/>
  <c r="C15" i="55"/>
  <c r="M14" i="55"/>
  <c r="W13" i="55"/>
  <c r="G13" i="55"/>
  <c r="M50" i="55"/>
  <c r="C52" i="55"/>
  <c r="F53" i="55"/>
  <c r="I54" i="55"/>
  <c r="L55" i="55"/>
  <c r="O56" i="55"/>
  <c r="E58" i="55"/>
  <c r="T16" i="55"/>
  <c r="O15" i="55"/>
  <c r="Y14" i="55"/>
  <c r="I14" i="55"/>
  <c r="S13" i="55"/>
  <c r="C13" i="55"/>
  <c r="D51" i="55"/>
  <c r="G52" i="55"/>
  <c r="J53" i="55"/>
  <c r="M54" i="55"/>
  <c r="C56" i="55"/>
  <c r="F57" i="55"/>
  <c r="I58" i="55"/>
  <c r="M58" i="55"/>
  <c r="B50" i="55"/>
  <c r="B67" i="55"/>
  <c r="B71" i="55"/>
  <c r="B80" i="55"/>
  <c r="B84" i="55"/>
  <c r="B70" i="55"/>
  <c r="B64" i="55"/>
  <c r="B68" i="55"/>
  <c r="B72" i="55"/>
  <c r="B81" i="55"/>
  <c r="B85" i="55"/>
  <c r="B83" i="55"/>
  <c r="B65" i="55"/>
  <c r="B69" i="55"/>
  <c r="B78" i="55"/>
  <c r="B82" i="55"/>
  <c r="B86" i="55"/>
  <c r="B66" i="55"/>
  <c r="B79" i="55"/>
  <c r="O67" i="55"/>
  <c r="O71" i="55"/>
  <c r="O80" i="55"/>
  <c r="O84" i="55"/>
  <c r="Q37" i="55"/>
  <c r="Q41" i="55"/>
  <c r="O65" i="55"/>
  <c r="O78" i="55"/>
  <c r="O86" i="55"/>
  <c r="Q43" i="55"/>
  <c r="O70" i="55"/>
  <c r="O83" i="55"/>
  <c r="Q40" i="55"/>
  <c r="O64" i="55"/>
  <c r="O68" i="55"/>
  <c r="O72" i="55"/>
  <c r="O81" i="55"/>
  <c r="O85" i="55"/>
  <c r="Q38" i="55"/>
  <c r="Q42" i="55"/>
  <c r="O69" i="55"/>
  <c r="O82" i="55"/>
  <c r="Q39" i="55"/>
  <c r="O66" i="55"/>
  <c r="O79" i="55"/>
  <c r="Q36" i="55"/>
  <c r="Q44" i="55"/>
  <c r="D78" i="55"/>
  <c r="H78" i="55"/>
  <c r="L78" i="55"/>
  <c r="E79" i="55"/>
  <c r="I79" i="55"/>
  <c r="M79" i="55"/>
  <c r="F80" i="55"/>
  <c r="J80" i="55"/>
  <c r="N80" i="55"/>
  <c r="G81" i="55"/>
  <c r="K81" i="55"/>
  <c r="D82" i="55"/>
  <c r="H82" i="55"/>
  <c r="L82" i="55"/>
  <c r="E83" i="55"/>
  <c r="I83" i="55"/>
  <c r="M83" i="55"/>
  <c r="F84" i="55"/>
  <c r="J84" i="55"/>
  <c r="N84" i="55"/>
  <c r="G85" i="55"/>
  <c r="K85" i="55"/>
  <c r="D86" i="55"/>
  <c r="H86" i="55"/>
  <c r="L86" i="55"/>
  <c r="C85" i="55"/>
  <c r="C81" i="55"/>
  <c r="D64" i="55"/>
  <c r="H64" i="55"/>
  <c r="L64" i="55"/>
  <c r="E65" i="55"/>
  <c r="I65" i="55"/>
  <c r="M65" i="55"/>
  <c r="F66" i="55"/>
  <c r="J66" i="55"/>
  <c r="N66" i="55"/>
  <c r="G67" i="55"/>
  <c r="K67" i="55"/>
  <c r="D68" i="55"/>
  <c r="H68" i="55"/>
  <c r="L68" i="55"/>
  <c r="E69" i="55"/>
  <c r="I69" i="55"/>
  <c r="M69" i="55"/>
  <c r="F70" i="55"/>
  <c r="J70" i="55"/>
  <c r="N70" i="55"/>
  <c r="G71" i="55"/>
  <c r="K71" i="55"/>
  <c r="D72" i="55"/>
  <c r="H72" i="55"/>
  <c r="L72" i="55"/>
  <c r="C71" i="55"/>
  <c r="C67" i="55"/>
  <c r="B57" i="55"/>
  <c r="B53" i="55"/>
  <c r="C36" i="55"/>
  <c r="G36" i="55"/>
  <c r="K36" i="55"/>
  <c r="O36" i="55"/>
  <c r="F78" i="55"/>
  <c r="J78" i="55"/>
  <c r="N78" i="55"/>
  <c r="G79" i="55"/>
  <c r="K79" i="55"/>
  <c r="D80" i="55"/>
  <c r="H80" i="55"/>
  <c r="L80" i="55"/>
  <c r="E81" i="55"/>
  <c r="I81" i="55"/>
  <c r="M81" i="55"/>
  <c r="F82" i="55"/>
  <c r="J82" i="55"/>
  <c r="N82" i="55"/>
  <c r="G83" i="55"/>
  <c r="K83" i="55"/>
  <c r="D84" i="55"/>
  <c r="H84" i="55"/>
  <c r="L84" i="55"/>
  <c r="E78" i="55"/>
  <c r="M78" i="55"/>
  <c r="J79" i="55"/>
  <c r="G80" i="55"/>
  <c r="D81" i="55"/>
  <c r="L81" i="55"/>
  <c r="I82" i="55"/>
  <c r="F83" i="55"/>
  <c r="N83" i="55"/>
  <c r="K84" i="55"/>
  <c r="F85" i="55"/>
  <c r="L85" i="55"/>
  <c r="F86" i="55"/>
  <c r="K86" i="55"/>
  <c r="C84" i="55"/>
  <c r="C79" i="55"/>
  <c r="G64" i="55"/>
  <c r="M64" i="55"/>
  <c r="G65" i="55"/>
  <c r="L65" i="55"/>
  <c r="G66" i="55"/>
  <c r="L66" i="55"/>
  <c r="F67" i="55"/>
  <c r="L67" i="55"/>
  <c r="F68" i="55"/>
  <c r="K68" i="55"/>
  <c r="F69" i="55"/>
  <c r="K69" i="55"/>
  <c r="E70" i="55"/>
  <c r="K70" i="55"/>
  <c r="E71" i="55"/>
  <c r="J71" i="55"/>
  <c r="E72" i="55"/>
  <c r="J72" i="55"/>
  <c r="C72" i="55"/>
  <c r="C66" i="55"/>
  <c r="B54" i="55"/>
  <c r="D36" i="55"/>
  <c r="I36" i="55"/>
  <c r="N36" i="55"/>
  <c r="E37" i="55"/>
  <c r="I37" i="55"/>
  <c r="M37" i="55"/>
  <c r="C38" i="55"/>
  <c r="G38" i="55"/>
  <c r="K38" i="55"/>
  <c r="O38" i="55"/>
  <c r="E39" i="55"/>
  <c r="I39" i="55"/>
  <c r="M39" i="55"/>
  <c r="C40" i="55"/>
  <c r="G40" i="55"/>
  <c r="K40" i="55"/>
  <c r="O40" i="55"/>
  <c r="E41" i="55"/>
  <c r="I41" i="55"/>
  <c r="M41" i="55"/>
  <c r="C42" i="55"/>
  <c r="G42" i="55"/>
  <c r="K42" i="55"/>
  <c r="O42" i="55"/>
  <c r="E43" i="55"/>
  <c r="I43" i="55"/>
  <c r="M43" i="55"/>
  <c r="C44" i="55"/>
  <c r="G44" i="55"/>
  <c r="K44" i="55"/>
  <c r="O44" i="55"/>
  <c r="B42" i="55"/>
  <c r="B38" i="55"/>
  <c r="G78" i="55"/>
  <c r="F79" i="55"/>
  <c r="E80" i="55"/>
  <c r="F81" i="55"/>
  <c r="E82" i="55"/>
  <c r="D83" i="55"/>
  <c r="E84" i="55"/>
  <c r="D85" i="55"/>
  <c r="J85" i="55"/>
  <c r="G86" i="55"/>
  <c r="N86" i="55"/>
  <c r="C80" i="55"/>
  <c r="I64" i="55"/>
  <c r="D65" i="55"/>
  <c r="K65" i="55"/>
  <c r="H66" i="55"/>
  <c r="D67" i="55"/>
  <c r="J67" i="55"/>
  <c r="G68" i="55"/>
  <c r="N68" i="55"/>
  <c r="J69" i="55"/>
  <c r="G70" i="55"/>
  <c r="M70" i="55"/>
  <c r="I71" i="55"/>
  <c r="F72" i="55"/>
  <c r="M72" i="55"/>
  <c r="C68" i="55"/>
  <c r="B55" i="55"/>
  <c r="E36" i="55"/>
  <c r="L36" i="55"/>
  <c r="D37" i="55"/>
  <c r="J37" i="55"/>
  <c r="O37" i="55"/>
  <c r="F38" i="55"/>
  <c r="L38" i="55"/>
  <c r="C39" i="55"/>
  <c r="H39" i="55"/>
  <c r="N39" i="55"/>
  <c r="E40" i="55"/>
  <c r="J40" i="55"/>
  <c r="P40" i="55"/>
  <c r="G41" i="55"/>
  <c r="L41" i="55"/>
  <c r="D42" i="55"/>
  <c r="I42" i="55"/>
  <c r="N42" i="55"/>
  <c r="F43" i="55"/>
  <c r="K43" i="55"/>
  <c r="P43" i="55"/>
  <c r="H44" i="55"/>
  <c r="M44" i="55"/>
  <c r="B43" i="55"/>
  <c r="B37" i="55"/>
  <c r="I78" i="55"/>
  <c r="H79" i="55"/>
  <c r="I80" i="55"/>
  <c r="H81" i="55"/>
  <c r="G82" i="55"/>
  <c r="H83" i="55"/>
  <c r="G84" i="55"/>
  <c r="E85" i="55"/>
  <c r="M85" i="55"/>
  <c r="I86" i="55"/>
  <c r="C86" i="55"/>
  <c r="C78" i="55"/>
  <c r="J64" i="55"/>
  <c r="F65" i="55"/>
  <c r="N65" i="55"/>
  <c r="I66" i="55"/>
  <c r="E67" i="55"/>
  <c r="M67" i="55"/>
  <c r="I68" i="55"/>
  <c r="D69" i="55"/>
  <c r="L69" i="55"/>
  <c r="H70" i="55"/>
  <c r="D71" i="55"/>
  <c r="L71" i="55"/>
  <c r="G72" i="55"/>
  <c r="N72" i="55"/>
  <c r="C65" i="55"/>
  <c r="B52" i="55"/>
  <c r="F36" i="55"/>
  <c r="M36" i="55"/>
  <c r="F37" i="55"/>
  <c r="K37" i="55"/>
  <c r="P37" i="55"/>
  <c r="H38" i="55"/>
  <c r="M38" i="55"/>
  <c r="D39" i="55"/>
  <c r="J39" i="55"/>
  <c r="O39" i="55"/>
  <c r="F40" i="55"/>
  <c r="L40" i="55"/>
  <c r="C41" i="55"/>
  <c r="H41" i="55"/>
  <c r="N41" i="55"/>
  <c r="E42" i="55"/>
  <c r="J42" i="55"/>
  <c r="P42" i="55"/>
  <c r="G43" i="55"/>
  <c r="L43" i="55"/>
  <c r="D44" i="55"/>
  <c r="I44" i="55"/>
  <c r="N44" i="55"/>
  <c r="B41" i="55"/>
  <c r="B36" i="55"/>
  <c r="K78" i="55"/>
  <c r="L79" i="55"/>
  <c r="K80" i="55"/>
  <c r="J81" i="55"/>
  <c r="K82" i="55"/>
  <c r="J83" i="55"/>
  <c r="I84" i="55"/>
  <c r="H85" i="55"/>
  <c r="N85" i="55"/>
  <c r="J86" i="55"/>
  <c r="C83" i="55"/>
  <c r="E64" i="55"/>
  <c r="K64" i="55"/>
  <c r="H65" i="55"/>
  <c r="D66" i="55"/>
  <c r="K66" i="55"/>
  <c r="H67" i="55"/>
  <c r="N67" i="55"/>
  <c r="J68" i="55"/>
  <c r="G69" i="55"/>
  <c r="N69" i="55"/>
  <c r="I70" i="55"/>
  <c r="F71" i="55"/>
  <c r="M71" i="55"/>
  <c r="I72" i="55"/>
  <c r="C70" i="55"/>
  <c r="C64" i="55"/>
  <c r="B58" i="55"/>
  <c r="B51" i="55"/>
  <c r="H36" i="55"/>
  <c r="P36" i="55"/>
  <c r="G37" i="55"/>
  <c r="L37" i="55"/>
  <c r="D38" i="55"/>
  <c r="I38" i="55"/>
  <c r="N38" i="55"/>
  <c r="F39" i="55"/>
  <c r="D79" i="55"/>
  <c r="M82" i="55"/>
  <c r="E86" i="55"/>
  <c r="N64" i="55"/>
  <c r="I67" i="55"/>
  <c r="D70" i="55"/>
  <c r="K72" i="55"/>
  <c r="B56" i="55"/>
  <c r="H37" i="55"/>
  <c r="P38" i="55"/>
  <c r="P39" i="55"/>
  <c r="M40" i="55"/>
  <c r="J41" i="55"/>
  <c r="F42" i="55"/>
  <c r="C43" i="55"/>
  <c r="N43" i="55"/>
  <c r="J44" i="55"/>
  <c r="B40" i="55"/>
  <c r="N79" i="55"/>
  <c r="L83" i="55"/>
  <c r="M86" i="55"/>
  <c r="J65" i="55"/>
  <c r="E68" i="55"/>
  <c r="L70" i="55"/>
  <c r="C69" i="55"/>
  <c r="N37" i="55"/>
  <c r="G39" i="55"/>
  <c r="D40" i="55"/>
  <c r="N40" i="55"/>
  <c r="K41" i="55"/>
  <c r="H42" i="55"/>
  <c r="D43" i="55"/>
  <c r="O43" i="55"/>
  <c r="L44" i="55"/>
  <c r="B39" i="55"/>
  <c r="M80" i="55"/>
  <c r="M84" i="55"/>
  <c r="C82" i="55"/>
  <c r="E66" i="55"/>
  <c r="M68" i="55"/>
  <c r="H71" i="55"/>
  <c r="J36" i="55"/>
  <c r="E38" i="55"/>
  <c r="K39" i="55"/>
  <c r="H40" i="55"/>
  <c r="D41" i="55"/>
  <c r="O41" i="55"/>
  <c r="L42" i="55"/>
  <c r="H43" i="55"/>
  <c r="E44" i="55"/>
  <c r="P44" i="55"/>
  <c r="N81" i="55"/>
  <c r="I85" i="55"/>
  <c r="F64" i="55"/>
  <c r="M66" i="55"/>
  <c r="H69" i="55"/>
  <c r="N71" i="55"/>
  <c r="C37" i="55"/>
  <c r="J38" i="55"/>
  <c r="L39" i="55"/>
  <c r="I40" i="55"/>
  <c r="F41" i="55"/>
  <c r="P41" i="55"/>
  <c r="M42" i="55"/>
  <c r="J43" i="55"/>
  <c r="F44" i="55"/>
  <c r="B44" i="55"/>
  <c r="B21" i="5" l="1"/>
  <c r="C21" i="5"/>
  <c r="D21" i="5"/>
  <c r="E21" i="5"/>
  <c r="F21" i="5"/>
  <c r="G21" i="5"/>
  <c r="H21" i="5"/>
  <c r="I21" i="5"/>
  <c r="J21" i="5"/>
  <c r="K21" i="5"/>
  <c r="L21" i="5"/>
  <c r="M21" i="5"/>
  <c r="N21" i="5"/>
  <c r="O21" i="5"/>
  <c r="P21" i="5"/>
  <c r="Q21" i="5"/>
  <c r="R21" i="5"/>
  <c r="S21" i="5"/>
  <c r="T21" i="5"/>
  <c r="U21" i="5"/>
  <c r="V21" i="5"/>
  <c r="W21" i="5"/>
  <c r="X21" i="5"/>
  <c r="Y21" i="5"/>
  <c r="Z21" i="5"/>
  <c r="AA21" i="5"/>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alcChain>
</file>

<file path=xl/sharedStrings.xml><?xml version="1.0" encoding="utf-8"?>
<sst xmlns="http://schemas.openxmlformats.org/spreadsheetml/2006/main" count="1381" uniqueCount="121">
  <si>
    <t>TOTAL</t>
  </si>
  <si>
    <t>BRETAGNE</t>
  </si>
  <si>
    <t>ILE-DE-FRANCE</t>
  </si>
  <si>
    <t>PAYS DE LA LOIRE</t>
  </si>
  <si>
    <t>PROVENCE-ALPES-COTE D'AZUR</t>
  </si>
  <si>
    <t>CORSE</t>
  </si>
  <si>
    <t>Etablissements par région</t>
  </si>
  <si>
    <t>Ecrans par région</t>
  </si>
  <si>
    <t>Indice de fréquentation par région</t>
  </si>
  <si>
    <t>Recette moyenne par entrée par région (€)</t>
  </si>
  <si>
    <t>Recettes guichets par région (M€)</t>
  </si>
  <si>
    <t>Entrées par région (millions)</t>
  </si>
  <si>
    <t>Séances par région (milliers)</t>
  </si>
  <si>
    <t>Etablissements Art et Essai par région</t>
  </si>
  <si>
    <t>Multiplexes (8 écrans et plus) par région</t>
  </si>
  <si>
    <t>Fauteuils par région</t>
  </si>
  <si>
    <t>Taux d'occupation des fauteuils par région</t>
  </si>
  <si>
    <t>Définitions et sources</t>
  </si>
  <si>
    <t>Etablissements</t>
  </si>
  <si>
    <t>Ecrans</t>
  </si>
  <si>
    <t>Fauteuils</t>
  </si>
  <si>
    <t>Multiplexes (établissements de 8 écrans et plus)</t>
  </si>
  <si>
    <t>Séances</t>
  </si>
  <si>
    <t>Entrées</t>
  </si>
  <si>
    <t>Recettes</t>
  </si>
  <si>
    <t>Recette moyenne par entrée</t>
  </si>
  <si>
    <t>Indice de fréquentation</t>
  </si>
  <si>
    <t>Taux moyen d'occupation des fauteuils</t>
  </si>
  <si>
    <t>Réglementation</t>
  </si>
  <si>
    <t>Définitions</t>
  </si>
  <si>
    <t>Sources</t>
  </si>
  <si>
    <t>EQUIPEMENT ET RESULTATS DES REGIONS</t>
  </si>
  <si>
    <t>Retour au menu "Régions"</t>
  </si>
  <si>
    <t>Etablissements Art et Essai</t>
  </si>
  <si>
    <t>Etablissements de la petite exploitation</t>
  </si>
  <si>
    <t>Etablissements de la moyenne exploitation</t>
  </si>
  <si>
    <t>Etablissements de la grande exploitation</t>
  </si>
  <si>
    <t>2004</t>
  </si>
  <si>
    <t>2005</t>
  </si>
  <si>
    <t>2006</t>
  </si>
  <si>
    <t>2007</t>
  </si>
  <si>
    <t>2008</t>
  </si>
  <si>
    <t>2009</t>
  </si>
  <si>
    <t>2010</t>
  </si>
  <si>
    <t>2011</t>
  </si>
  <si>
    <t>2012</t>
  </si>
  <si>
    <t>Ecrans des établissements Art et Essai par région</t>
  </si>
  <si>
    <t>Taux d'occupation des fauteuils des établissements Art et Essai par région</t>
  </si>
  <si>
    <t>Indice de fréquentation des établissements Art et Essai par région</t>
  </si>
  <si>
    <t>Recette moyenne par entrée des établissements Art et Essai par région (€)</t>
  </si>
  <si>
    <t>Recettes guichets des établissements Art et Essai par région (M€)</t>
  </si>
  <si>
    <t>Entrées des établissements Art et Essai par région (millions)</t>
  </si>
  <si>
    <t>Séances des établissements Art et Essai par région (milliers)</t>
  </si>
  <si>
    <t>Fauteuils des établissements Art et Essai par région</t>
  </si>
  <si>
    <t>2013</t>
  </si>
  <si>
    <t>2014</t>
  </si>
  <si>
    <t>Résultats totaux</t>
  </si>
  <si>
    <t>écrans</t>
  </si>
  <si>
    <t>fauteuils</t>
  </si>
  <si>
    <t>entrées (millions)</t>
  </si>
  <si>
    <t>recettes (M€)</t>
  </si>
  <si>
    <t>RME (€)</t>
  </si>
  <si>
    <t>indice de fréquentation</t>
  </si>
  <si>
    <t>établissements</t>
  </si>
  <si>
    <t>multiplexes (8 écrans et plus)</t>
  </si>
  <si>
    <t>séances (milliers)</t>
  </si>
  <si>
    <t>taux d'occupation des fauteuils (%)</t>
  </si>
  <si>
    <t>Résultats des établissements Art et Essai</t>
  </si>
  <si>
    <t>Rechercher la région dans la liste suivante</t>
  </si>
  <si>
    <t>REGION</t>
  </si>
  <si>
    <t>Fiche récapitulative</t>
  </si>
  <si>
    <t>Ensemble du parc</t>
  </si>
  <si>
    <t>AUVERGNE-RHONE-ALPES</t>
  </si>
  <si>
    <t>BOURGOGNE-FRANCHE-COMTE</t>
  </si>
  <si>
    <t>CENTRE-VAL DE LOIRE</t>
  </si>
  <si>
    <t>NORMANDIE</t>
  </si>
  <si>
    <t>2015</t>
  </si>
  <si>
    <t>GRAND EST</t>
  </si>
  <si>
    <t>HAUTS-DE-FRANCE</t>
  </si>
  <si>
    <t>NOUVELLE AQUITAINE</t>
  </si>
  <si>
    <t>OCCITANIE</t>
  </si>
  <si>
    <t>2016</t>
  </si>
  <si>
    <t>2017</t>
  </si>
  <si>
    <t>Etablissements à moins de 80 000 entrées annuelles par région</t>
  </si>
  <si>
    <t>Taux d'occupation des fauteuils des établissements à moins de 80 000 entrées annuelles par région</t>
  </si>
  <si>
    <t>Indice de fréquentation des établissements à moins de 80 000 entrées annuelles par région</t>
  </si>
  <si>
    <t>Recette moyenne par entrée des établissements à moins de 80 000 entrées annuelles par région (€)</t>
  </si>
  <si>
    <t>Recettes guichets des établissements à moins de 80 000 entrées annuelles par région (M€)</t>
  </si>
  <si>
    <t>Entrées des établissements à moins de 80 000 entrées annuelles par région (millions)</t>
  </si>
  <si>
    <t>Séances des établissements à moins de 80 000 entrées annuelles par région (milliers)</t>
  </si>
  <si>
    <t>Fauteuils des établissements à moins de 80 000 entrées annuelles par région</t>
  </si>
  <si>
    <t>Ecrans des établissements à moins de 80 000 entrées annuelles par région</t>
  </si>
  <si>
    <t>Etablissements de 80 000 à 450 000 entrées annuelles par région</t>
  </si>
  <si>
    <t>Taux d'occupation des fauteuils des établissements de 80 000 à 450 000 entrées annuelles par région</t>
  </si>
  <si>
    <t>Indice de fréquentation des établissements de 80 000 à 450 000 entrées annuelles par région</t>
  </si>
  <si>
    <t>Recette moyenne par entrée des établissements de 80 000 à 450 000 entrées annuelles par région (€)</t>
  </si>
  <si>
    <t>Recettes guichets des établissements de 80 000 à 450 000 entrées annuelles par région (M€)</t>
  </si>
  <si>
    <t>Entrées des établissements de 80 000 à 450 000 entrées annuelles par région (millions)</t>
  </si>
  <si>
    <t>Séances des établissements de 80 000 à 450 000 entrées annuelles par région (milliers)</t>
  </si>
  <si>
    <t>Fauteuils des établissements de 80 000 à 450 000 entrées annuelles par région</t>
  </si>
  <si>
    <t>Ecrans des établissements de 80 000 à 450 000 entrées annuelles par région</t>
  </si>
  <si>
    <t>Ecrans des établissements à 450 000 entrées annuelles ou plus par région</t>
  </si>
  <si>
    <t>Etablissements à 450 000 entrées annuelles ou plus par région</t>
  </si>
  <si>
    <t>Taux d'occupation des fauteuils des établissements à 450 000 entrées annuelles ou plus par région</t>
  </si>
  <si>
    <t>Indice de fréquentation des établissements à 450 000 entrées annuelles ou plus par région</t>
  </si>
  <si>
    <t>Recette moyenne par entrée des établissements à 450 000 entrées annuelles ou plus par région (€)</t>
  </si>
  <si>
    <t>Recettes guichets des établissements à 450 000 entrées annuelles ou plus par région (M€)</t>
  </si>
  <si>
    <t>Entrées des établissements à 450 000 entrées annuelles ou plus par région (millions)</t>
  </si>
  <si>
    <t>Séances des établissements à 450 000 entrées annuelles ou plus par région (milliers)</t>
  </si>
  <si>
    <t>Fauteuils des établissements à 450 000 entrées annuelles ou plus par région</t>
  </si>
  <si>
    <t>Résultats des établissements à moins de 80 000 entrées annuelles</t>
  </si>
  <si>
    <t>Résultats des établissements de 80 000 à 450 000 entrées annuelles</t>
  </si>
  <si>
    <t>Résultats des établissements à 450 000 entrées annuelles</t>
  </si>
  <si>
    <t>2018</t>
  </si>
  <si>
    <t>2019</t>
  </si>
  <si>
    <t>2020</t>
  </si>
  <si>
    <t>2021</t>
  </si>
  <si>
    <t>2022</t>
  </si>
  <si>
    <t>2023</t>
  </si>
  <si>
    <t>2024</t>
  </si>
  <si>
    <t>Mis à jour le 22 septembre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</si>
</sst>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
    <numFmt numFmtId="166" formatCode="#,##0.0"/>
    <numFmt numFmtId="167" formatCode="#,##0.000,,"/>
    <numFmt numFmtId="168" formatCode="0.0"/>
  </numFmts>
  <fonts count="22" x14ac:knownFonts="1">
    <font>
      <sz val="10"/>
      <name val="Arial"/>
    </font>
    <font>
      <sz val="8"/>
      <name val="Arial"/>
      <family val="2"/>
    </font>
    <font>
      <sz val="10"/>
      <color indexed="8"/>
      <name val="Arial"/>
      <family val="2"/>
    </font>
    <font>
      <sz val="9"/>
      <color indexed="8"/>
      <name val="Arial"/>
      <family val="2"/>
    </font>
    <font>
      <sz val="9"/>
      <name val="Arial"/>
      <family val="2"/>
    </font>
    <font>
      <b/>
      <sz val="9"/>
      <color indexed="8"/>
      <name val="Arial"/>
      <family val="2"/>
    </font>
    <font>
      <b/>
      <sz val="9"/>
      <name val="Arial"/>
      <family val="2"/>
    </font>
    <font>
      <b/>
      <sz val="10"/>
      <name val="Arial"/>
      <family val="2"/>
    </font>
    <font>
      <sz val="10"/>
      <name val="Arial"/>
      <family val="2"/>
    </font>
    <font>
      <b/>
      <sz val="20"/>
      <name val="Arial"/>
      <family val="2"/>
    </font>
    <font>
      <sz val="12"/>
      <name val="Arial"/>
      <family val="2"/>
    </font>
    <font>
      <u/>
      <sz val="10"/>
      <color indexed="12"/>
      <name val="Arial"/>
      <family val="2"/>
    </font>
    <font>
      <u/>
      <sz val="12"/>
      <name val="Arial"/>
      <family val="2"/>
    </font>
    <font>
      <u/>
      <sz val="12"/>
      <color theme="1"/>
      <name val="Arial"/>
      <family val="2"/>
    </font>
    <font>
      <sz val="10"/>
      <color indexed="12"/>
      <name val="Arial"/>
      <family val="2"/>
    </font>
    <font>
      <b/>
      <sz val="12"/>
      <name val="Arial"/>
      <family val="2"/>
    </font>
    <font>
      <b/>
      <sz val="10"/>
      <color theme="8" tint="-0.249977111117893"/>
      <name val="Arial"/>
      <family val="2"/>
    </font>
    <font>
      <sz val="10"/>
      <color theme="8" tint="-0.249977111117893"/>
      <name val="Arial"/>
      <family val="2"/>
    </font>
    <font>
      <sz val="10"/>
      <color theme="0"/>
      <name val="Arial"/>
      <family val="2"/>
    </font>
    <font>
      <sz val="10"/>
      <name val="MS Sans Serif"/>
      <family val="2"/>
    </font>
    <font>
      <sz val="10"/>
      <color rgb="FF00B0F0"/>
      <name val="Arial"/>
      <family val="2"/>
    </font>
    <font>
      <sz val="8"/>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9">
    <xf numFmtId="0" fontId="0" fillId="0" borderId="0"/>
    <xf numFmtId="0" fontId="2" fillId="0" borderId="0"/>
    <xf numFmtId="0" fontId="2" fillId="0" borderId="0"/>
    <xf numFmtId="0" fontId="2" fillId="0" borderId="0"/>
    <xf numFmtId="0" fontId="2" fillId="0" borderId="0"/>
    <xf numFmtId="0" fontId="2" fillId="0" borderId="0"/>
    <xf numFmtId="0" fontId="8" fillId="0" borderId="0"/>
    <xf numFmtId="0" fontId="11" fillId="0" borderId="0" applyNumberFormat="0" applyFill="0" applyBorder="0" applyAlignment="0" applyProtection="0">
      <alignment vertical="top"/>
      <protection locked="0"/>
    </xf>
    <xf numFmtId="0" fontId="19" fillId="0" borderId="0"/>
  </cellStyleXfs>
  <cellXfs count="84">
    <xf numFmtId="0" fontId="0" fillId="0" borderId="0" xfId="0"/>
    <xf numFmtId="0" fontId="4" fillId="0" borderId="0" xfId="0" applyFont="1"/>
    <xf numFmtId="0" fontId="6" fillId="0" borderId="0" xfId="0" applyFont="1"/>
    <xf numFmtId="0" fontId="7" fillId="0" borderId="0" xfId="0" applyFont="1"/>
    <xf numFmtId="0" fontId="4" fillId="0" borderId="0" xfId="0" applyFont="1" applyAlignment="1">
      <alignment horizontal="right"/>
    </xf>
    <xf numFmtId="0" fontId="5" fillId="0" borderId="1" xfId="2" applyFont="1" applyBorder="1" applyAlignment="1">
      <alignment horizontal="center"/>
    </xf>
    <xf numFmtId="0" fontId="5" fillId="0" borderId="1" xfId="2" applyFont="1" applyBorder="1" applyAlignment="1">
      <alignment horizontal="right"/>
    </xf>
    <xf numFmtId="0" fontId="3" fillId="0" borderId="1" xfId="2" applyFont="1" applyBorder="1"/>
    <xf numFmtId="3" fontId="3" fillId="0" borderId="1" xfId="2" applyNumberFormat="1" applyFont="1" applyBorder="1" applyAlignment="1">
      <alignment horizontal="right"/>
    </xf>
    <xf numFmtId="0" fontId="6" fillId="0" borderId="1" xfId="0" applyFont="1" applyBorder="1"/>
    <xf numFmtId="3" fontId="6" fillId="0" borderId="1" xfId="0" applyNumberFormat="1" applyFont="1" applyBorder="1" applyAlignment="1">
      <alignment horizontal="right"/>
    </xf>
    <xf numFmtId="0" fontId="5" fillId="0" borderId="1" xfId="5" applyFont="1" applyBorder="1" applyAlignment="1">
      <alignment horizontal="center"/>
    </xf>
    <xf numFmtId="0" fontId="5" fillId="0" borderId="1" xfId="5" applyFont="1" applyBorder="1" applyAlignment="1">
      <alignment horizontal="right"/>
    </xf>
    <xf numFmtId="0" fontId="3" fillId="0" borderId="1" xfId="5" applyFont="1" applyBorder="1"/>
    <xf numFmtId="0" fontId="5" fillId="0" borderId="1" xfId="1" applyFont="1" applyBorder="1" applyAlignment="1">
      <alignment horizontal="center"/>
    </xf>
    <xf numFmtId="0" fontId="3" fillId="0" borderId="1" xfId="1" applyFont="1" applyBorder="1"/>
    <xf numFmtId="0" fontId="5" fillId="0" borderId="1" xfId="4" applyFont="1" applyBorder="1" applyAlignment="1">
      <alignment horizontal="center"/>
    </xf>
    <xf numFmtId="0" fontId="5" fillId="0" borderId="1" xfId="4" applyFont="1" applyBorder="1" applyAlignment="1">
      <alignment horizontal="right"/>
    </xf>
    <xf numFmtId="0" fontId="3" fillId="0" borderId="1" xfId="4" applyFont="1" applyBorder="1"/>
    <xf numFmtId="3" fontId="3" fillId="0" borderId="1" xfId="4" applyNumberFormat="1" applyFont="1" applyBorder="1" applyAlignment="1">
      <alignment horizontal="right"/>
    </xf>
    <xf numFmtId="0" fontId="5" fillId="0" borderId="1" xfId="3" applyFont="1" applyBorder="1" applyAlignment="1">
      <alignment horizontal="center"/>
    </xf>
    <xf numFmtId="0" fontId="5" fillId="0" borderId="1" xfId="3" applyFont="1" applyBorder="1" applyAlignment="1">
      <alignment horizontal="right"/>
    </xf>
    <xf numFmtId="0" fontId="3" fillId="0" borderId="1" xfId="3" applyFont="1" applyBorder="1"/>
    <xf numFmtId="3" fontId="3" fillId="0" borderId="1" xfId="3" applyNumberFormat="1" applyFont="1" applyBorder="1" applyAlignment="1">
      <alignment horizontal="right"/>
    </xf>
    <xf numFmtId="164" fontId="3" fillId="0" borderId="1" xfId="5" applyNumberFormat="1" applyFont="1" applyBorder="1" applyAlignment="1">
      <alignment horizontal="right"/>
    </xf>
    <xf numFmtId="164" fontId="6" fillId="0" borderId="1" xfId="0" applyNumberFormat="1" applyFont="1" applyBorder="1" applyAlignment="1">
      <alignment horizontal="right"/>
    </xf>
    <xf numFmtId="165" fontId="3" fillId="0" borderId="1" xfId="5" applyNumberFormat="1" applyFont="1" applyBorder="1" applyAlignment="1">
      <alignment horizontal="right"/>
    </xf>
    <xf numFmtId="165" fontId="6" fillId="0" borderId="1" xfId="0" applyNumberFormat="1" applyFont="1" applyBorder="1" applyAlignment="1">
      <alignment horizontal="right"/>
    </xf>
    <xf numFmtId="166" fontId="3" fillId="0" borderId="1" xfId="2" applyNumberFormat="1" applyFont="1" applyBorder="1" applyAlignment="1">
      <alignment horizontal="right"/>
    </xf>
    <xf numFmtId="166" fontId="6" fillId="0" borderId="1" xfId="0" applyNumberFormat="1" applyFont="1" applyBorder="1" applyAlignment="1">
      <alignment horizontal="right"/>
    </xf>
    <xf numFmtId="4" fontId="3" fillId="0" borderId="1" xfId="2" applyNumberFormat="1" applyFont="1" applyBorder="1" applyAlignment="1">
      <alignment horizontal="right"/>
    </xf>
    <xf numFmtId="4" fontId="6" fillId="0" borderId="1" xfId="0" applyNumberFormat="1" applyFont="1" applyBorder="1" applyAlignment="1">
      <alignment horizontal="right"/>
    </xf>
    <xf numFmtId="0" fontId="9" fillId="0" borderId="0" xfId="6" applyFont="1"/>
    <xf numFmtId="0" fontId="10" fillId="0" borderId="0" xfId="6" applyFont="1" applyAlignment="1">
      <alignment vertical="center"/>
    </xf>
    <xf numFmtId="0" fontId="12" fillId="0" borderId="0" xfId="7" applyFont="1" applyBorder="1" applyAlignment="1" applyProtection="1">
      <alignment horizontal="left" vertical="center"/>
    </xf>
    <xf numFmtId="0" fontId="13" fillId="0" borderId="0" xfId="7" applyFont="1" applyBorder="1" applyAlignment="1" applyProtection="1">
      <alignment vertical="center"/>
    </xf>
    <xf numFmtId="0" fontId="8" fillId="0" borderId="0" xfId="6"/>
    <xf numFmtId="3" fontId="8" fillId="0" borderId="0" xfId="6" applyNumberFormat="1"/>
    <xf numFmtId="0" fontId="11" fillId="0" borderId="0" xfId="7" applyAlignment="1" applyProtection="1"/>
    <xf numFmtId="3" fontId="14" fillId="0" borderId="0" xfId="6" applyNumberFormat="1" applyFont="1"/>
    <xf numFmtId="0" fontId="14" fillId="0" borderId="0" xfId="6" applyFont="1"/>
    <xf numFmtId="0" fontId="15" fillId="0" borderId="0" xfId="6" applyFont="1"/>
    <xf numFmtId="0" fontId="15" fillId="0" borderId="0" xfId="0" applyFont="1" applyAlignment="1">
      <alignment vertical="center"/>
    </xf>
    <xf numFmtId="0" fontId="10" fillId="0" borderId="0" xfId="0" applyFont="1" applyAlignment="1">
      <alignment vertical="center"/>
    </xf>
    <xf numFmtId="0" fontId="12" fillId="0" borderId="0" xfId="7" applyFont="1" applyBorder="1" applyAlignment="1" applyProtection="1">
      <alignment vertical="center"/>
    </xf>
    <xf numFmtId="0" fontId="7" fillId="0" borderId="0" xfId="6" applyFont="1"/>
    <xf numFmtId="0" fontId="4" fillId="0" borderId="0" xfId="6" applyFont="1"/>
    <xf numFmtId="0" fontId="4" fillId="0" borderId="0" xfId="6" applyFont="1" applyAlignment="1">
      <alignment horizontal="right"/>
    </xf>
    <xf numFmtId="0" fontId="6" fillId="0" borderId="0" xfId="6" applyFont="1"/>
    <xf numFmtId="0" fontId="6" fillId="0" borderId="1" xfId="6" applyFont="1" applyBorder="1"/>
    <xf numFmtId="3" fontId="8" fillId="0" borderId="0" xfId="6" applyNumberFormat="1" applyAlignment="1">
      <alignment horizontal="right"/>
    </xf>
    <xf numFmtId="0" fontId="8" fillId="0" borderId="0" xfId="6" applyAlignment="1">
      <alignment horizontal="right"/>
    </xf>
    <xf numFmtId="3" fontId="14" fillId="0" borderId="0" xfId="6" applyNumberFormat="1" applyFont="1" applyAlignment="1">
      <alignment horizontal="right"/>
    </xf>
    <xf numFmtId="0" fontId="14" fillId="0" borderId="0" xfId="6" applyFont="1" applyAlignment="1">
      <alignment horizontal="right"/>
    </xf>
    <xf numFmtId="0" fontId="16" fillId="0" borderId="0" xfId="6" applyFont="1"/>
    <xf numFmtId="0" fontId="17" fillId="0" borderId="0" xfId="6" applyFont="1" applyAlignment="1">
      <alignment horizontal="left"/>
    </xf>
    <xf numFmtId="0" fontId="6" fillId="0" borderId="0" xfId="6" applyFont="1" applyAlignment="1">
      <alignment horizontal="right"/>
    </xf>
    <xf numFmtId="3" fontId="4" fillId="0" borderId="0" xfId="0" applyNumberFormat="1" applyFont="1" applyAlignment="1">
      <alignment horizontal="right"/>
    </xf>
    <xf numFmtId="167" fontId="4" fillId="0" borderId="0" xfId="0" applyNumberFormat="1" applyFont="1" applyAlignment="1">
      <alignment horizontal="right"/>
    </xf>
    <xf numFmtId="4" fontId="4" fillId="0" borderId="0" xfId="0" applyNumberFormat="1" applyFont="1" applyAlignment="1">
      <alignment horizontal="right"/>
    </xf>
    <xf numFmtId="0" fontId="0" fillId="0" borderId="0" xfId="0" applyAlignment="1">
      <alignment horizontal="right"/>
    </xf>
    <xf numFmtId="0" fontId="6" fillId="0" borderId="0" xfId="0" applyFont="1" applyAlignment="1">
      <alignment horizontal="right"/>
    </xf>
    <xf numFmtId="0" fontId="7" fillId="0" borderId="0" xfId="0" applyFont="1" applyAlignment="1">
      <alignment horizontal="right"/>
    </xf>
    <xf numFmtId="165" fontId="4" fillId="0" borderId="0" xfId="0" applyNumberFormat="1" applyFont="1" applyAlignment="1">
      <alignment horizontal="right"/>
    </xf>
    <xf numFmtId="168" fontId="4" fillId="0" borderId="0" xfId="0" applyNumberFormat="1" applyFont="1" applyAlignment="1">
      <alignment horizontal="right"/>
    </xf>
    <xf numFmtId="2" fontId="4" fillId="0" borderId="0" xfId="0" applyNumberFormat="1" applyFont="1" applyAlignment="1">
      <alignment horizontal="right"/>
    </xf>
    <xf numFmtId="0" fontId="18" fillId="0" borderId="0" xfId="6" applyFont="1" applyAlignment="1">
      <alignment horizontal="right"/>
    </xf>
    <xf numFmtId="0" fontId="18" fillId="0" borderId="0" xfId="0" applyFont="1" applyAlignment="1">
      <alignment horizontal="right"/>
    </xf>
    <xf numFmtId="0" fontId="20" fillId="0" borderId="0" xfId="8" applyFont="1"/>
    <xf numFmtId="0" fontId="5" fillId="0" borderId="1" xfId="1" applyFont="1" applyBorder="1" applyAlignment="1">
      <alignment horizontal="right"/>
    </xf>
    <xf numFmtId="3" fontId="6" fillId="0" borderId="1" xfId="6" applyNumberFormat="1" applyFont="1" applyBorder="1" applyAlignment="1">
      <alignment horizontal="right"/>
    </xf>
    <xf numFmtId="165" fontId="6" fillId="0" borderId="1" xfId="6" applyNumberFormat="1" applyFont="1" applyBorder="1" applyAlignment="1">
      <alignment horizontal="right"/>
    </xf>
    <xf numFmtId="164" fontId="6" fillId="0" borderId="1" xfId="6" applyNumberFormat="1" applyFont="1" applyBorder="1" applyAlignment="1">
      <alignment horizontal="right"/>
    </xf>
    <xf numFmtId="4" fontId="3" fillId="0" borderId="1" xfId="5" applyNumberFormat="1" applyFont="1" applyBorder="1" applyAlignment="1">
      <alignment horizontal="right"/>
    </xf>
    <xf numFmtId="4" fontId="5" fillId="0" borderId="1" xfId="5" applyNumberFormat="1" applyFont="1" applyBorder="1" applyAlignment="1">
      <alignment horizontal="right"/>
    </xf>
    <xf numFmtId="166" fontId="3" fillId="0" borderId="1" xfId="5" applyNumberFormat="1" applyFont="1" applyBorder="1" applyAlignment="1">
      <alignment horizontal="right"/>
    </xf>
    <xf numFmtId="166" fontId="6" fillId="0" borderId="1" xfId="6" applyNumberFormat="1" applyFont="1" applyBorder="1" applyAlignment="1">
      <alignment horizontal="right"/>
    </xf>
    <xf numFmtId="0" fontId="6" fillId="0" borderId="1" xfId="6" applyFont="1" applyBorder="1" applyAlignment="1">
      <alignment horizontal="right"/>
    </xf>
    <xf numFmtId="3" fontId="3" fillId="0" borderId="1" xfId="1" applyNumberFormat="1" applyFont="1" applyBorder="1" applyAlignment="1">
      <alignment horizontal="right"/>
    </xf>
    <xf numFmtId="4" fontId="6" fillId="0" borderId="1" xfId="6" applyNumberFormat="1" applyFont="1" applyBorder="1" applyAlignment="1">
      <alignment horizontal="right"/>
    </xf>
    <xf numFmtId="3" fontId="4" fillId="0" borderId="0" xfId="6" applyNumberFormat="1" applyFont="1"/>
    <xf numFmtId="166" fontId="4" fillId="0" borderId="0" xfId="6" applyNumberFormat="1" applyFont="1"/>
    <xf numFmtId="4" fontId="4" fillId="0" borderId="0" xfId="6" applyNumberFormat="1" applyFont="1"/>
    <xf numFmtId="0" fontId="8" fillId="0" borderId="0" xfId="6" applyAlignment="1">
      <alignment horizontal="left"/>
    </xf>
  </cellXfs>
  <cellStyles count="9">
    <cellStyle name="Lien hypertexte" xfId="7" builtinId="8"/>
    <cellStyle name="Normal" xfId="0" builtinId="0"/>
    <cellStyle name="Normal 2" xfId="6" xr:uid="{00000000-0005-0000-0000-000002000000}"/>
    <cellStyle name="Normal 2 2" xfId="8" xr:uid="{00000000-0005-0000-0000-000003000000}"/>
    <cellStyle name="Normal_Art et Essai" xfId="1" xr:uid="{00000000-0005-0000-0000-000004000000}"/>
    <cellStyle name="Normal_établissements" xfId="2" xr:uid="{00000000-0005-0000-0000-000005000000}"/>
    <cellStyle name="Normal_fauteuils" xfId="3" xr:uid="{00000000-0005-0000-0000-000006000000}"/>
    <cellStyle name="Normal_multiplexes" xfId="4" xr:uid="{00000000-0005-0000-0000-000007000000}"/>
    <cellStyle name="Normal_séances" xfId="5"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695325</xdr:colOff>
      <xdr:row>1</xdr:row>
      <xdr:rowOff>123825</xdr:rowOff>
    </xdr:to>
    <xdr:pic>
      <xdr:nvPicPr>
        <xdr:cNvPr id="2" name="Picture 15"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12</xdr:col>
      <xdr:colOff>0</xdr:colOff>
      <xdr:row>21</xdr:row>
      <xdr:rowOff>19050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381000" y="847725"/>
          <a:ext cx="8382000" cy="26098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pitchFamily="34" charset="0"/>
              <a:cs typeface="Arial" pitchFamily="34" charset="0"/>
            </a:rPr>
            <a:t>Tout entrepreneur de spectacles cinématographiques doit être titulaire de la carte d'autorisation d'exercice prévue à l'article 14 du Code de l'industrie cinématographique. L'agencement de la salle de projection doit répondre à des normes de sécurité et de qualité de projection. La billetterie est un élément essentiel des mécanismes de recettes réalisées par les salles de cinéma.</a:t>
          </a:r>
        </a:p>
        <a:p>
          <a:pPr algn="l" rtl="0">
            <a:defRPr sz="1000"/>
          </a:pPr>
          <a:endParaRPr lang="fr-FR" sz="1000" b="0" i="0" strike="noStrike">
            <a:solidFill>
              <a:srgbClr val="000000"/>
            </a:solidFill>
            <a:latin typeface="Arial" pitchFamily="34" charset="0"/>
            <a:cs typeface="Arial" pitchFamily="34" charset="0"/>
          </a:endParaRPr>
        </a:p>
        <a:p>
          <a:pPr algn="l" rtl="0">
            <a:defRPr sz="1000"/>
          </a:pPr>
          <a:r>
            <a:rPr lang="fr-FR" sz="1000" b="1" i="1" strike="noStrike">
              <a:solidFill>
                <a:srgbClr val="000000"/>
              </a:solidFill>
              <a:latin typeface="Arial" pitchFamily="34" charset="0"/>
              <a:cs typeface="Arial" pitchFamily="34" charset="0"/>
            </a:rPr>
            <a:t>Classement des établissements " Art et Essai "</a:t>
          </a:r>
          <a:endParaRPr lang="fr-FR" sz="1000" b="0" i="0" strike="noStrike">
            <a:solidFill>
              <a:srgbClr val="000000"/>
            </a:solidFill>
            <a:latin typeface="Arial" pitchFamily="34" charset="0"/>
            <a:cs typeface="Arial" pitchFamily="34" charset="0"/>
          </a:endParaRPr>
        </a:p>
        <a:p>
          <a:pPr algn="l" rtl="0">
            <a:defRPr sz="1000"/>
          </a:pPr>
          <a:r>
            <a:rPr lang="fr-FR" sz="1000" b="0" i="0" strike="noStrike">
              <a:solidFill>
                <a:srgbClr val="000000"/>
              </a:solidFill>
              <a:latin typeface="Arial" pitchFamily="34" charset="0"/>
              <a:cs typeface="Arial" pitchFamily="34" charset="0"/>
            </a:rPr>
            <a:t>Le classement Art et Essai des lieux de projection cinématographiques a fait l'objet d'une réforme qui s'applique depuis 2002.</a:t>
          </a:r>
        </a:p>
        <a:p>
          <a:pPr algn="l" rtl="0">
            <a:defRPr sz="1000"/>
          </a:pPr>
          <a:r>
            <a:rPr lang="fr-FR" sz="1000" b="0" i="0" strike="noStrike">
              <a:solidFill>
                <a:srgbClr val="000000"/>
              </a:solidFill>
              <a:latin typeface="Arial" pitchFamily="34" charset="0"/>
              <a:cs typeface="Arial" pitchFamily="34" charset="0"/>
            </a:rPr>
            <a:t>Le classement Art et Essai d'un lieu de projection cinématographique repose désormais :</a:t>
          </a:r>
        </a:p>
        <a:p>
          <a:pPr algn="l" rtl="0">
            <a:defRPr sz="1000"/>
          </a:pPr>
          <a:r>
            <a:rPr lang="fr-FR" sz="1000" b="0" i="0" strike="noStrike">
              <a:solidFill>
                <a:srgbClr val="000000"/>
              </a:solidFill>
              <a:latin typeface="Arial" pitchFamily="34" charset="0"/>
              <a:cs typeface="Arial" pitchFamily="34" charset="0"/>
            </a:rPr>
            <a:t>- sur un indice automatique indiquant la proportion de séances réalisées avec des films recommandés Art et Essai par rapport au total des séances offertes ;</a:t>
          </a:r>
        </a:p>
        <a:p>
          <a:pPr algn="l" rtl="0">
            <a:defRPr sz="1000"/>
          </a:pPr>
          <a:r>
            <a:rPr lang="fr-FR" sz="1000" b="0" i="0" strike="noStrike">
              <a:solidFill>
                <a:srgbClr val="000000"/>
              </a:solidFill>
              <a:latin typeface="Arial" pitchFamily="34" charset="0"/>
              <a:cs typeface="Arial" pitchFamily="34" charset="0"/>
            </a:rPr>
            <a:t>- sur une pondération de cet indice automatique par deux coefficients. D'une part, un coefficient majorateur qui apprécie le nombre de films proposés, la politique d'animation, l'environnement sociologique et l'environnement cinématographique, d'autre part un coefficient minorateur qui prend en compte l'état de l'établissement, la diversité des films Art et Essai proposés, l'insuffisance de fonctionnement (nombre de semaines et de séances hors période de travaux).</a:t>
          </a:r>
        </a:p>
        <a:p>
          <a:pPr algn="l" rtl="0">
            <a:defRPr sz="1000"/>
          </a:pPr>
          <a:r>
            <a:rPr lang="fr-FR" sz="1000" b="0" i="0" strike="noStrike">
              <a:solidFill>
                <a:srgbClr val="000000"/>
              </a:solidFill>
              <a:latin typeface="Arial" pitchFamily="34" charset="0"/>
              <a:cs typeface="Arial" pitchFamily="34" charset="0"/>
            </a:rPr>
            <a:t>Le classement se fait désormais par établissement et la référence géographique est l'unité urbaine dans laquelle est situé l'établissement. Le classement est effectué par la Directrice générale du CNC, après avis de la commission du cinéma d'Art et Essai, qui examine les dossiers de demande de classement des établissements pour une année au début de cette même année. Le montant des subventions est fixé en fonction de l'indice résultant des calculs exposés ci-dessus.</a:t>
          </a:r>
        </a:p>
        <a:p>
          <a:pPr algn="l" rtl="0">
            <a:defRPr sz="1000"/>
          </a:pPr>
          <a:endParaRPr lang="fr-FR" sz="1000" b="0" i="0" strike="noStrike">
            <a:solidFill>
              <a:srgbClr val="000000"/>
            </a:solidFill>
            <a:latin typeface="Arial" pitchFamily="34" charset="0"/>
            <a:cs typeface="Arial" pitchFamily="34" charset="0"/>
          </a:endParaRPr>
        </a:p>
      </xdr:txBody>
    </xdr:sp>
    <xdr:clientData/>
  </xdr:twoCellAnchor>
  <xdr:twoCellAnchor>
    <xdr:from>
      <xdr:col>0</xdr:col>
      <xdr:colOff>371475</xdr:colOff>
      <xdr:row>24</xdr:row>
      <xdr:rowOff>9525</xdr:rowOff>
    </xdr:from>
    <xdr:to>
      <xdr:col>11</xdr:col>
      <xdr:colOff>752475</xdr:colOff>
      <xdr:row>37</xdr:row>
      <xdr:rowOff>28575</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71475" y="4781550"/>
          <a:ext cx="8382000" cy="21240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1" i="1" strike="noStrike">
              <a:solidFill>
                <a:srgbClr val="000000"/>
              </a:solidFill>
              <a:latin typeface="Arial"/>
              <a:cs typeface="Arial"/>
            </a:rPr>
            <a:t>Ecrans autorisés, écrans actifs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écrans autorisés sont ceux qui disposent d'une autorisation administrative. Les écrans actifs au cours d'une année sont ceux qui ont organisé au moins une séance et ont envoyé au CNC au moins un bordereau de recettes au titre de l'année.</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Etablissements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établissements sont les lieux de projection. Ils peuvent regrouper un ou plusieurs écrans. Ils sont plus communément appelés "cinémas".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Taux moyen d'occupation des fauteuils (TMOF)</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 taux moyen d'occupation des fauteuils est le rapport entre les entrées au cours de l'année et le produit entre le nombre de fauteuils et le nombre de séances. Le taux moyen d'occupation des fauteuils permet d'évaluer le " remplissage " des salles.</a:t>
          </a:r>
        </a:p>
        <a:p>
          <a:pPr algn="l" rtl="0">
            <a:defRPr sz="1000"/>
          </a:pPr>
          <a:r>
            <a:rPr lang="fr-FR" sz="1000" b="0" i="0" strike="noStrike">
              <a:solidFill>
                <a:srgbClr val="000000"/>
              </a:solidFill>
              <a:latin typeface="Arial"/>
              <a:cs typeface="Arial"/>
            </a:rPr>
            <a:t>TMOF = entrées / (fauteuils x séances)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Recette moyenne par entrée</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RME = recettes / entrées</a:t>
          </a:r>
        </a:p>
      </xdr:txBody>
    </xdr:sp>
    <xdr:clientData/>
  </xdr:twoCellAnchor>
  <xdr:twoCellAnchor>
    <xdr:from>
      <xdr:col>1</xdr:col>
      <xdr:colOff>0</xdr:colOff>
      <xdr:row>40</xdr:row>
      <xdr:rowOff>38100</xdr:rowOff>
    </xdr:from>
    <xdr:to>
      <xdr:col>12</xdr:col>
      <xdr:colOff>0</xdr:colOff>
      <xdr:row>42</xdr:row>
      <xdr:rowOff>57150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381000" y="7439025"/>
          <a:ext cx="838200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a:cs typeface="Arial"/>
            </a:rPr>
            <a:t>Liste des salles autorisées par le CNC.</a:t>
          </a:r>
        </a:p>
        <a:p>
          <a:pPr algn="l" rtl="0">
            <a:defRPr sz="1000"/>
          </a:pPr>
          <a:r>
            <a:rPr lang="fr-FR" sz="1000" b="0" i="0" strike="noStrike">
              <a:solidFill>
                <a:srgbClr val="000000"/>
              </a:solidFill>
              <a:latin typeface="Arial"/>
              <a:cs typeface="Arial"/>
            </a:rPr>
            <a:t>Bordereaux de recettes des salles.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rdillier\AppData\Local\Microsoft\Windows\INetCache\Content.Outlook\QR20F2M9\D&#233;partements%20-%20Donn&#233;es%20statistiq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éfinitions"/>
      <sheetName val="Fiche"/>
      <sheetName val="établissements"/>
      <sheetName val="écrans"/>
      <sheetName val="fauteuils"/>
      <sheetName val="multiplexes"/>
      <sheetName val="séances"/>
      <sheetName val="entrées"/>
      <sheetName val="recettes"/>
      <sheetName val="RME"/>
      <sheetName val="indice de fréquentation"/>
      <sheetName val="taux d'occupation des fauteuils"/>
      <sheetName val="étabAE"/>
      <sheetName val="écransAE"/>
      <sheetName val="fauteuilsAE"/>
      <sheetName val="séances AE"/>
      <sheetName val="entréesAE"/>
      <sheetName val="recettesAE"/>
      <sheetName val="RMEAE"/>
      <sheetName val="indice de fréquentationAE"/>
      <sheetName val="tmofAE"/>
      <sheetName val="étabP"/>
      <sheetName val="écransP"/>
      <sheetName val="fauteuilsP"/>
      <sheetName val="séancesP"/>
      <sheetName val="entréesP"/>
      <sheetName val="recettesP"/>
      <sheetName val="RMEP"/>
      <sheetName val="indice de fréquentationP"/>
      <sheetName val="tmofP"/>
      <sheetName val="étabM"/>
      <sheetName val="écransM"/>
      <sheetName val="fauteuilsM"/>
      <sheetName val="séancesM"/>
      <sheetName val="entréesM"/>
      <sheetName val="recettesM"/>
      <sheetName val="RMEM"/>
      <sheetName val="indice de fréquentationM"/>
      <sheetName val="tmofM"/>
      <sheetName val="étabG"/>
      <sheetName val="écransG"/>
      <sheetName val="fauteuilsG"/>
      <sheetName val="séancesG"/>
      <sheetName val="entréesG"/>
      <sheetName val="recettesG"/>
      <sheetName val="RMEG"/>
      <sheetName val="indice de fréquentationG"/>
      <sheetName val="tmofG"/>
    </sheetNames>
    <sheetDataSet>
      <sheetData sheetId="0"/>
      <sheetData sheetId="1"/>
      <sheetData sheetId="2"/>
      <sheetData sheetId="3">
        <row r="8">
          <cell r="B8" t="str">
            <v>AIN</v>
          </cell>
        </row>
        <row r="9">
          <cell r="B9" t="str">
            <v>AISNE</v>
          </cell>
        </row>
        <row r="10">
          <cell r="B10" t="str">
            <v>ALLIER</v>
          </cell>
        </row>
        <row r="11">
          <cell r="B11" t="str">
            <v>ALPES-DE-HAUTE-PROVENCE</v>
          </cell>
        </row>
        <row r="12">
          <cell r="B12" t="str">
            <v>HAUTES-ALPES</v>
          </cell>
        </row>
        <row r="13">
          <cell r="B13" t="str">
            <v>ALPES-MARITIMES</v>
          </cell>
        </row>
        <row r="14">
          <cell r="B14" t="str">
            <v>ARDECHE</v>
          </cell>
        </row>
        <row r="15">
          <cell r="B15" t="str">
            <v>ARDENNES</v>
          </cell>
        </row>
        <row r="16">
          <cell r="B16" t="str">
            <v>ARIEGE</v>
          </cell>
        </row>
        <row r="17">
          <cell r="B17" t="str">
            <v>AUBE</v>
          </cell>
        </row>
        <row r="18">
          <cell r="B18" t="str">
            <v>AUDE</v>
          </cell>
        </row>
        <row r="19">
          <cell r="B19" t="str">
            <v>AVEYRON</v>
          </cell>
        </row>
        <row r="20">
          <cell r="B20" t="str">
            <v>BOUCHES-DU-RHONE</v>
          </cell>
        </row>
        <row r="21">
          <cell r="B21" t="str">
            <v>CALVADOS</v>
          </cell>
        </row>
        <row r="22">
          <cell r="B22" t="str">
            <v>CANTAL</v>
          </cell>
        </row>
        <row r="23">
          <cell r="B23" t="str">
            <v>CHARENTE</v>
          </cell>
        </row>
        <row r="24">
          <cell r="B24" t="str">
            <v>CHARENTE-MARITIME</v>
          </cell>
        </row>
        <row r="25">
          <cell r="B25" t="str">
            <v>CHER</v>
          </cell>
        </row>
        <row r="26">
          <cell r="B26" t="str">
            <v>CORREZE</v>
          </cell>
        </row>
        <row r="27">
          <cell r="B27" t="str">
            <v>CORSE-DU-SUD</v>
          </cell>
        </row>
        <row r="28">
          <cell r="B28" t="str">
            <v>HAUTE-CORSE</v>
          </cell>
        </row>
        <row r="29">
          <cell r="B29" t="str">
            <v>COTE-D'OR</v>
          </cell>
        </row>
        <row r="30">
          <cell r="B30" t="str">
            <v>COTES-D'ARMOR</v>
          </cell>
        </row>
        <row r="31">
          <cell r="B31" t="str">
            <v>CREUSE</v>
          </cell>
        </row>
        <row r="32">
          <cell r="B32" t="str">
            <v>DORDOGNE</v>
          </cell>
        </row>
        <row r="33">
          <cell r="B33" t="str">
            <v>DOUBS</v>
          </cell>
        </row>
        <row r="34">
          <cell r="B34" t="str">
            <v>DROME</v>
          </cell>
        </row>
        <row r="35">
          <cell r="B35" t="str">
            <v>EURE</v>
          </cell>
        </row>
        <row r="36">
          <cell r="B36" t="str">
            <v>EURE-ET-LOIR</v>
          </cell>
        </row>
        <row r="37">
          <cell r="B37" t="str">
            <v>FINISTERE</v>
          </cell>
        </row>
        <row r="38">
          <cell r="B38" t="str">
            <v>GARD</v>
          </cell>
        </row>
        <row r="39">
          <cell r="B39" t="str">
            <v>HAUTE-GARONNE</v>
          </cell>
        </row>
        <row r="40">
          <cell r="B40" t="str">
            <v>GERS</v>
          </cell>
        </row>
        <row r="41">
          <cell r="B41" t="str">
            <v>GIRONDE</v>
          </cell>
        </row>
        <row r="42">
          <cell r="B42" t="str">
            <v>HERAULT</v>
          </cell>
        </row>
        <row r="43">
          <cell r="B43" t="str">
            <v>ILLE-ET-VILAINE</v>
          </cell>
        </row>
        <row r="44">
          <cell r="B44" t="str">
            <v>INDRE</v>
          </cell>
        </row>
        <row r="45">
          <cell r="B45" t="str">
            <v>INDRE-ET-LOIRE</v>
          </cell>
        </row>
        <row r="46">
          <cell r="B46" t="str">
            <v>ISERE</v>
          </cell>
        </row>
        <row r="47">
          <cell r="B47" t="str">
            <v>JURA</v>
          </cell>
        </row>
        <row r="48">
          <cell r="B48" t="str">
            <v>LANDES</v>
          </cell>
        </row>
        <row r="49">
          <cell r="B49" t="str">
            <v>LOIR-ET-CHER</v>
          </cell>
        </row>
        <row r="50">
          <cell r="B50" t="str">
            <v>LOIRE</v>
          </cell>
        </row>
        <row r="51">
          <cell r="B51" t="str">
            <v>HAUTE-LOIRE</v>
          </cell>
        </row>
        <row r="52">
          <cell r="B52" t="str">
            <v>LOIRE-ATLANTIQUE</v>
          </cell>
        </row>
        <row r="53">
          <cell r="B53" t="str">
            <v>LOIRET</v>
          </cell>
        </row>
        <row r="54">
          <cell r="B54" t="str">
            <v>LOT</v>
          </cell>
        </row>
        <row r="55">
          <cell r="B55" t="str">
            <v>LOT-ET-GARONNE</v>
          </cell>
        </row>
        <row r="56">
          <cell r="B56" t="str">
            <v>LOZERE</v>
          </cell>
        </row>
        <row r="57">
          <cell r="B57" t="str">
            <v>MAINE-ET-LOIRE</v>
          </cell>
        </row>
        <row r="58">
          <cell r="B58" t="str">
            <v>MANCHE</v>
          </cell>
        </row>
        <row r="59">
          <cell r="B59" t="str">
            <v>MARNE</v>
          </cell>
        </row>
        <row r="60">
          <cell r="B60" t="str">
            <v>HAUTE-MARNE</v>
          </cell>
        </row>
        <row r="61">
          <cell r="B61" t="str">
            <v>MAYENNE</v>
          </cell>
        </row>
        <row r="62">
          <cell r="B62" t="str">
            <v>MEURTHE-ET-MOSELLE</v>
          </cell>
        </row>
        <row r="63">
          <cell r="B63" t="str">
            <v>MEUSE</v>
          </cell>
        </row>
        <row r="64">
          <cell r="B64" t="str">
            <v>MORBIHAN</v>
          </cell>
        </row>
        <row r="65">
          <cell r="B65" t="str">
            <v>MOSELLE</v>
          </cell>
        </row>
        <row r="66">
          <cell r="B66" t="str">
            <v>NIEVRE</v>
          </cell>
        </row>
        <row r="67">
          <cell r="B67" t="str">
            <v>NORD</v>
          </cell>
        </row>
        <row r="68">
          <cell r="B68" t="str">
            <v>OISE</v>
          </cell>
        </row>
        <row r="69">
          <cell r="B69" t="str">
            <v>ORNE</v>
          </cell>
        </row>
        <row r="70">
          <cell r="B70" t="str">
            <v>PAS-DE-CALAIS</v>
          </cell>
        </row>
        <row r="71">
          <cell r="B71" t="str">
            <v>PUY-DE-DOME</v>
          </cell>
        </row>
        <row r="72">
          <cell r="B72" t="str">
            <v>PYRENEES-ATLANTIQUES</v>
          </cell>
        </row>
        <row r="73">
          <cell r="B73" t="str">
            <v>HAUTES-PYRENEES</v>
          </cell>
        </row>
        <row r="74">
          <cell r="B74" t="str">
            <v>PYRENEES-ORIENTALES</v>
          </cell>
        </row>
        <row r="75">
          <cell r="B75" t="str">
            <v>BAS-RHIN</v>
          </cell>
        </row>
        <row r="76">
          <cell r="B76" t="str">
            <v>HAUT-RHIN</v>
          </cell>
        </row>
        <row r="77">
          <cell r="B77" t="str">
            <v>RHONE</v>
          </cell>
        </row>
        <row r="78">
          <cell r="B78" t="str">
            <v>HAUTE-SAONE</v>
          </cell>
        </row>
        <row r="79">
          <cell r="B79" t="str">
            <v>SAONE-ET-LOIRE</v>
          </cell>
        </row>
        <row r="80">
          <cell r="B80" t="str">
            <v>SARTHE</v>
          </cell>
        </row>
        <row r="81">
          <cell r="B81" t="str">
            <v>SAVOIE</v>
          </cell>
        </row>
        <row r="82">
          <cell r="B82" t="str">
            <v>HAUTE-SAVOIE</v>
          </cell>
        </row>
        <row r="83">
          <cell r="B83" t="str">
            <v>PARIS</v>
          </cell>
        </row>
        <row r="84">
          <cell r="B84" t="str">
            <v>SEINE-MARITIME</v>
          </cell>
        </row>
        <row r="85">
          <cell r="B85" t="str">
            <v>SEINE-ET-MARNE</v>
          </cell>
        </row>
        <row r="86">
          <cell r="B86" t="str">
            <v>YVELINES</v>
          </cell>
        </row>
        <row r="87">
          <cell r="B87" t="str">
            <v>DEUX-SEVRES</v>
          </cell>
        </row>
        <row r="88">
          <cell r="B88" t="str">
            <v>SOMME</v>
          </cell>
        </row>
        <row r="89">
          <cell r="B89" t="str">
            <v>TARN</v>
          </cell>
        </row>
        <row r="90">
          <cell r="B90" t="str">
            <v>TARN-ET-GARONNE</v>
          </cell>
        </row>
        <row r="91">
          <cell r="B91" t="str">
            <v>VAR</v>
          </cell>
        </row>
        <row r="92">
          <cell r="B92" t="str">
            <v>VAUCLUSE</v>
          </cell>
        </row>
        <row r="93">
          <cell r="B93" t="str">
            <v>VENDEE</v>
          </cell>
        </row>
        <row r="94">
          <cell r="B94" t="str">
            <v>VIENNE</v>
          </cell>
        </row>
        <row r="95">
          <cell r="B95" t="str">
            <v>HAUTE-VIENNE</v>
          </cell>
        </row>
        <row r="96">
          <cell r="B96" t="str">
            <v>VOSGES</v>
          </cell>
        </row>
        <row r="97">
          <cell r="B97" t="str">
            <v>YONNE</v>
          </cell>
        </row>
        <row r="98">
          <cell r="B98" t="str">
            <v>TERRITOIRE DE BELFORT</v>
          </cell>
        </row>
        <row r="99">
          <cell r="B99" t="str">
            <v>ESSONNE</v>
          </cell>
        </row>
        <row r="100">
          <cell r="B100" t="str">
            <v>HAUTS-DE-SEINE</v>
          </cell>
        </row>
        <row r="101">
          <cell r="B101" t="str">
            <v>SEINE-SAINT-DENIS</v>
          </cell>
        </row>
        <row r="102">
          <cell r="B102" t="str">
            <v>VAL-DE-MARNE</v>
          </cell>
        </row>
        <row r="103">
          <cell r="B103" t="str">
            <v>VAL-D'OISE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5:B67"/>
  <sheetViews>
    <sheetView showGridLines="0" tabSelected="1" workbookViewId="0">
      <selection activeCell="A8" sqref="A8"/>
    </sheetView>
  </sheetViews>
  <sheetFormatPr baseColWidth="10" defaultColWidth="11.42578125" defaultRowHeight="12.75" x14ac:dyDescent="0.2"/>
  <cols>
    <col min="1" max="1" width="11.42578125" style="36"/>
    <col min="2" max="2" width="59" style="36" bestFit="1" customWidth="1"/>
    <col min="3" max="16384" width="11.42578125" style="36"/>
  </cols>
  <sheetData>
    <row r="5" spans="1:2" s="32" customFormat="1" ht="26.25" x14ac:dyDescent="0.4">
      <c r="A5" s="32" t="s">
        <v>31</v>
      </c>
    </row>
    <row r="8" spans="1:2" x14ac:dyDescent="0.2">
      <c r="A8" s="68" t="s">
        <v>120</v>
      </c>
    </row>
    <row r="10" spans="1:2" s="33" customFormat="1" ht="21" customHeight="1" x14ac:dyDescent="0.2">
      <c r="B10" s="34" t="s">
        <v>17</v>
      </c>
    </row>
    <row r="11" spans="1:2" s="43" customFormat="1" ht="21" customHeight="1" x14ac:dyDescent="0.2">
      <c r="B11" s="34" t="s">
        <v>70</v>
      </c>
    </row>
    <row r="12" spans="1:2" s="43" customFormat="1" ht="21" customHeight="1" x14ac:dyDescent="0.2">
      <c r="B12" s="34"/>
    </row>
    <row r="13" spans="1:2" s="43" customFormat="1" ht="21" customHeight="1" x14ac:dyDescent="0.2">
      <c r="A13" s="42" t="s">
        <v>71</v>
      </c>
      <c r="B13" s="34"/>
    </row>
    <row r="14" spans="1:2" s="33" customFormat="1" ht="21" customHeight="1" x14ac:dyDescent="0.2">
      <c r="B14" s="35" t="s">
        <v>18</v>
      </c>
    </row>
    <row r="15" spans="1:2" s="33" customFormat="1" ht="21" customHeight="1" x14ac:dyDescent="0.2">
      <c r="B15" s="35" t="s">
        <v>19</v>
      </c>
    </row>
    <row r="16" spans="1:2" s="33" customFormat="1" ht="21" customHeight="1" x14ac:dyDescent="0.2">
      <c r="B16" s="35" t="s">
        <v>20</v>
      </c>
    </row>
    <row r="17" spans="1:2" s="33" customFormat="1" ht="21" customHeight="1" x14ac:dyDescent="0.2">
      <c r="B17" s="35" t="s">
        <v>21</v>
      </c>
    </row>
    <row r="18" spans="1:2" s="33" customFormat="1" ht="21" customHeight="1" x14ac:dyDescent="0.2">
      <c r="B18" s="35" t="s">
        <v>22</v>
      </c>
    </row>
    <row r="19" spans="1:2" s="33" customFormat="1" ht="21" customHeight="1" x14ac:dyDescent="0.2">
      <c r="B19" s="35" t="s">
        <v>23</v>
      </c>
    </row>
    <row r="20" spans="1:2" s="33" customFormat="1" ht="21" customHeight="1" x14ac:dyDescent="0.2">
      <c r="B20" s="35" t="s">
        <v>24</v>
      </c>
    </row>
    <row r="21" spans="1:2" s="33" customFormat="1" ht="21" customHeight="1" x14ac:dyDescent="0.2">
      <c r="B21" s="35" t="s">
        <v>25</v>
      </c>
    </row>
    <row r="22" spans="1:2" s="33" customFormat="1" ht="21" customHeight="1" x14ac:dyDescent="0.2">
      <c r="B22" s="35" t="s">
        <v>26</v>
      </c>
    </row>
    <row r="23" spans="1:2" s="33" customFormat="1" ht="21" customHeight="1" x14ac:dyDescent="0.2">
      <c r="B23" s="35" t="s">
        <v>27</v>
      </c>
    </row>
    <row r="24" spans="1:2" s="33" customFormat="1" ht="21" customHeight="1" x14ac:dyDescent="0.2">
      <c r="B24" s="35"/>
    </row>
    <row r="25" spans="1:2" s="43" customFormat="1" ht="21" customHeight="1" x14ac:dyDescent="0.2">
      <c r="A25" s="42" t="s">
        <v>33</v>
      </c>
      <c r="B25" s="34"/>
    </row>
    <row r="26" spans="1:2" s="43" customFormat="1" ht="21" customHeight="1" x14ac:dyDescent="0.2">
      <c r="B26" s="44" t="s">
        <v>18</v>
      </c>
    </row>
    <row r="27" spans="1:2" s="43" customFormat="1" ht="21" customHeight="1" x14ac:dyDescent="0.2">
      <c r="B27" s="44" t="s">
        <v>19</v>
      </c>
    </row>
    <row r="28" spans="1:2" s="43" customFormat="1" ht="21" customHeight="1" x14ac:dyDescent="0.2">
      <c r="B28" s="44" t="s">
        <v>20</v>
      </c>
    </row>
    <row r="29" spans="1:2" s="43" customFormat="1" ht="21" customHeight="1" x14ac:dyDescent="0.2">
      <c r="B29" s="44" t="s">
        <v>22</v>
      </c>
    </row>
    <row r="30" spans="1:2" s="43" customFormat="1" ht="21" customHeight="1" x14ac:dyDescent="0.2">
      <c r="B30" s="44" t="s">
        <v>23</v>
      </c>
    </row>
    <row r="31" spans="1:2" s="43" customFormat="1" ht="21" customHeight="1" x14ac:dyDescent="0.2">
      <c r="B31" s="44" t="s">
        <v>24</v>
      </c>
    </row>
    <row r="32" spans="1:2" s="43" customFormat="1" ht="21" customHeight="1" x14ac:dyDescent="0.2">
      <c r="B32" s="44" t="s">
        <v>25</v>
      </c>
    </row>
    <row r="33" spans="1:2" s="43" customFormat="1" ht="21" customHeight="1" x14ac:dyDescent="0.2">
      <c r="B33" s="44" t="s">
        <v>26</v>
      </c>
    </row>
    <row r="34" spans="1:2" s="43" customFormat="1" ht="21" customHeight="1" x14ac:dyDescent="0.2">
      <c r="B34" s="44" t="s">
        <v>27</v>
      </c>
    </row>
    <row r="35" spans="1:2" s="43" customFormat="1" ht="21" customHeight="1" x14ac:dyDescent="0.2">
      <c r="B35" s="35"/>
    </row>
    <row r="36" spans="1:2" s="43" customFormat="1" ht="21" customHeight="1" x14ac:dyDescent="0.2">
      <c r="A36" s="42" t="s">
        <v>34</v>
      </c>
      <c r="B36" s="34"/>
    </row>
    <row r="37" spans="1:2" s="43" customFormat="1" ht="21" customHeight="1" x14ac:dyDescent="0.2">
      <c r="B37" s="44" t="s">
        <v>18</v>
      </c>
    </row>
    <row r="38" spans="1:2" s="43" customFormat="1" ht="21" customHeight="1" x14ac:dyDescent="0.2">
      <c r="B38" s="44" t="s">
        <v>19</v>
      </c>
    </row>
    <row r="39" spans="1:2" s="43" customFormat="1" ht="21" customHeight="1" x14ac:dyDescent="0.2">
      <c r="B39" s="44" t="s">
        <v>20</v>
      </c>
    </row>
    <row r="40" spans="1:2" s="43" customFormat="1" ht="21" customHeight="1" x14ac:dyDescent="0.2">
      <c r="B40" s="44" t="s">
        <v>22</v>
      </c>
    </row>
    <row r="41" spans="1:2" s="43" customFormat="1" ht="21" customHeight="1" x14ac:dyDescent="0.2">
      <c r="B41" s="44" t="s">
        <v>23</v>
      </c>
    </row>
    <row r="42" spans="1:2" s="43" customFormat="1" ht="21" customHeight="1" x14ac:dyDescent="0.2">
      <c r="B42" s="44" t="s">
        <v>24</v>
      </c>
    </row>
    <row r="43" spans="1:2" s="43" customFormat="1" ht="21" customHeight="1" x14ac:dyDescent="0.2">
      <c r="B43" s="44" t="s">
        <v>25</v>
      </c>
    </row>
    <row r="44" spans="1:2" s="43" customFormat="1" ht="21" customHeight="1" x14ac:dyDescent="0.2">
      <c r="B44" s="44" t="s">
        <v>26</v>
      </c>
    </row>
    <row r="45" spans="1:2" s="43" customFormat="1" ht="21" customHeight="1" x14ac:dyDescent="0.2">
      <c r="B45" s="44" t="s">
        <v>27</v>
      </c>
    </row>
    <row r="46" spans="1:2" s="43" customFormat="1" ht="21" customHeight="1" x14ac:dyDescent="0.2">
      <c r="B46" s="35"/>
    </row>
    <row r="47" spans="1:2" s="43" customFormat="1" ht="21" customHeight="1" x14ac:dyDescent="0.2">
      <c r="A47" s="42" t="s">
        <v>35</v>
      </c>
      <c r="B47" s="34"/>
    </row>
    <row r="48" spans="1:2" s="43" customFormat="1" ht="21" customHeight="1" x14ac:dyDescent="0.2">
      <c r="B48" s="44" t="s">
        <v>18</v>
      </c>
    </row>
    <row r="49" spans="1:2" s="43" customFormat="1" ht="21" customHeight="1" x14ac:dyDescent="0.2">
      <c r="B49" s="44" t="s">
        <v>19</v>
      </c>
    </row>
    <row r="50" spans="1:2" s="43" customFormat="1" ht="21" customHeight="1" x14ac:dyDescent="0.2">
      <c r="B50" s="44" t="s">
        <v>20</v>
      </c>
    </row>
    <row r="51" spans="1:2" s="43" customFormat="1" ht="21" customHeight="1" x14ac:dyDescent="0.2">
      <c r="B51" s="44" t="s">
        <v>22</v>
      </c>
    </row>
    <row r="52" spans="1:2" s="43" customFormat="1" ht="21" customHeight="1" x14ac:dyDescent="0.2">
      <c r="B52" s="44" t="s">
        <v>23</v>
      </c>
    </row>
    <row r="53" spans="1:2" s="43" customFormat="1" ht="21" customHeight="1" x14ac:dyDescent="0.2">
      <c r="B53" s="44" t="s">
        <v>24</v>
      </c>
    </row>
    <row r="54" spans="1:2" s="43" customFormat="1" ht="21" customHeight="1" x14ac:dyDescent="0.2">
      <c r="B54" s="44" t="s">
        <v>25</v>
      </c>
    </row>
    <row r="55" spans="1:2" s="43" customFormat="1" ht="21" customHeight="1" x14ac:dyDescent="0.2">
      <c r="B55" s="44" t="s">
        <v>26</v>
      </c>
    </row>
    <row r="56" spans="1:2" s="43" customFormat="1" ht="21" customHeight="1" x14ac:dyDescent="0.2">
      <c r="B56" s="44" t="s">
        <v>27</v>
      </c>
    </row>
    <row r="57" spans="1:2" s="43" customFormat="1" ht="21" customHeight="1" x14ac:dyDescent="0.2">
      <c r="B57" s="35"/>
    </row>
    <row r="58" spans="1:2" s="43" customFormat="1" ht="21" customHeight="1" x14ac:dyDescent="0.2">
      <c r="A58" s="42" t="s">
        <v>36</v>
      </c>
      <c r="B58" s="34"/>
    </row>
    <row r="59" spans="1:2" s="43" customFormat="1" ht="21" customHeight="1" x14ac:dyDescent="0.2">
      <c r="B59" s="44" t="s">
        <v>18</v>
      </c>
    </row>
    <row r="60" spans="1:2" s="43" customFormat="1" ht="21" customHeight="1" x14ac:dyDescent="0.2">
      <c r="B60" s="44" t="s">
        <v>19</v>
      </c>
    </row>
    <row r="61" spans="1:2" s="43" customFormat="1" ht="21" customHeight="1" x14ac:dyDescent="0.2">
      <c r="B61" s="44" t="s">
        <v>20</v>
      </c>
    </row>
    <row r="62" spans="1:2" s="43" customFormat="1" ht="21" customHeight="1" x14ac:dyDescent="0.2">
      <c r="B62" s="44" t="s">
        <v>22</v>
      </c>
    </row>
    <row r="63" spans="1:2" s="43" customFormat="1" ht="21" customHeight="1" x14ac:dyDescent="0.2">
      <c r="B63" s="44" t="s">
        <v>23</v>
      </c>
    </row>
    <row r="64" spans="1:2" s="43" customFormat="1" ht="21" customHeight="1" x14ac:dyDescent="0.2">
      <c r="B64" s="44" t="s">
        <v>24</v>
      </c>
    </row>
    <row r="65" spans="2:2" s="43" customFormat="1" ht="21" customHeight="1" x14ac:dyDescent="0.2">
      <c r="B65" s="44" t="s">
        <v>25</v>
      </c>
    </row>
    <row r="66" spans="2:2" s="43" customFormat="1" ht="21" customHeight="1" x14ac:dyDescent="0.2">
      <c r="B66" s="44" t="s">
        <v>26</v>
      </c>
    </row>
    <row r="67" spans="2:2" s="43" customFormat="1" ht="21" customHeight="1" x14ac:dyDescent="0.2">
      <c r="B67" s="44" t="s">
        <v>27</v>
      </c>
    </row>
  </sheetData>
  <hyperlinks>
    <hyperlink ref="B10" location="Définitions!A1" display="Définitions et sources" xr:uid="{00000000-0004-0000-0000-000000000000}"/>
    <hyperlink ref="B14" location="établissements!A1" display="Etablissements" xr:uid="{00000000-0004-0000-0000-000001000000}"/>
    <hyperlink ref="B15" location="écrans!A1" display="Ecrans" xr:uid="{00000000-0004-0000-0000-000002000000}"/>
    <hyperlink ref="B16" location="fauteuils!A1" display="Fauteuils" xr:uid="{00000000-0004-0000-0000-000003000000}"/>
    <hyperlink ref="B17" location="multiplexes!A1" display="Multiplexes" xr:uid="{00000000-0004-0000-0000-000004000000}"/>
    <hyperlink ref="B18" location="séances!A1" display="Séances" xr:uid="{00000000-0004-0000-0000-000005000000}"/>
    <hyperlink ref="B19" location="entrées!A1" display="Entrées" xr:uid="{00000000-0004-0000-0000-000006000000}"/>
    <hyperlink ref="B20" location="recettes!A1" display="Recettes" xr:uid="{00000000-0004-0000-0000-000007000000}"/>
    <hyperlink ref="B21" location="RME!A1" display="Recette moyenne par entrée" xr:uid="{00000000-0004-0000-0000-000008000000}"/>
    <hyperlink ref="B22" location="'indice de fréquentation'!A1" display="Indice de fréquentation" xr:uid="{00000000-0004-0000-0000-000009000000}"/>
    <hyperlink ref="B23" location="'taux d''occupation des fauteuils'!A1" display="Taux moyen d'occupation des fauteuils" xr:uid="{00000000-0004-0000-0000-00000A000000}"/>
    <hyperlink ref="B26" location="étabAE!A1" display="Etablissements" xr:uid="{00000000-0004-0000-0000-00000B000000}"/>
    <hyperlink ref="B27" location="écransAE!A1" display="Ecrans" xr:uid="{00000000-0004-0000-0000-00000C000000}"/>
    <hyperlink ref="B28" location="fauteuilsAE!A1" display="Fauteuils" xr:uid="{00000000-0004-0000-0000-00000D000000}"/>
    <hyperlink ref="B29" location="'séances AE'!A1" display="Séances" xr:uid="{00000000-0004-0000-0000-00000E000000}"/>
    <hyperlink ref="B30" location="entréesAE!A1" display="Entrées" xr:uid="{00000000-0004-0000-0000-00000F000000}"/>
    <hyperlink ref="B31" location="recettesAE!A1" display="Recettes" xr:uid="{00000000-0004-0000-0000-000010000000}"/>
    <hyperlink ref="B32" location="RMEAE!A1" display="Recette moyenne par entrée" xr:uid="{00000000-0004-0000-0000-000011000000}"/>
    <hyperlink ref="B33" location="'indice de fréquentationAE'!A1" display="Indice de fréquentation" xr:uid="{00000000-0004-0000-0000-000012000000}"/>
    <hyperlink ref="B34" location="tmofAE!A1" display="Taux moyen d'occupation des fauteuils" xr:uid="{00000000-0004-0000-0000-000013000000}"/>
    <hyperlink ref="B37" location="étabP!A1" display="Etablissements" xr:uid="{00000000-0004-0000-0000-000014000000}"/>
    <hyperlink ref="B38" location="écransP!A1" display="Ecrans" xr:uid="{00000000-0004-0000-0000-000015000000}"/>
    <hyperlink ref="B39" location="fauteuilsP!A1" display="Fauteuils" xr:uid="{00000000-0004-0000-0000-000016000000}"/>
    <hyperlink ref="B40" location="séancesP!A1" display="Séances" xr:uid="{00000000-0004-0000-0000-000017000000}"/>
    <hyperlink ref="B41" location="entréesP!A1" display="Entrées" xr:uid="{00000000-0004-0000-0000-000018000000}"/>
    <hyperlink ref="B42" location="recettesP!A1" display="Recettes" xr:uid="{00000000-0004-0000-0000-000019000000}"/>
    <hyperlink ref="B43" location="RMEP!A1" display="Recette moyenne par entrée" xr:uid="{00000000-0004-0000-0000-00001A000000}"/>
    <hyperlink ref="B44" location="'indice de fréquentationP'!A1" display="Indice de fréquentation" xr:uid="{00000000-0004-0000-0000-00001B000000}"/>
    <hyperlink ref="B45" location="tmofP!A1" display="Taux moyen d'occupation des fauteuils" xr:uid="{00000000-0004-0000-0000-00001C000000}"/>
    <hyperlink ref="B48" location="étabM!A1" display="Etablissements" xr:uid="{00000000-0004-0000-0000-00001D000000}"/>
    <hyperlink ref="B49" location="écransM!A1" display="Ecrans" xr:uid="{00000000-0004-0000-0000-00001E000000}"/>
    <hyperlink ref="B50" location="fauteuilsM!A1" display="Fauteuils" xr:uid="{00000000-0004-0000-0000-00001F000000}"/>
    <hyperlink ref="B51" location="séancesM!A1" display="Séances" xr:uid="{00000000-0004-0000-0000-000020000000}"/>
    <hyperlink ref="B52" location="entréesM!A1" display="Entrées" xr:uid="{00000000-0004-0000-0000-000021000000}"/>
    <hyperlink ref="B53" location="recettesM!A1" display="Recettes" xr:uid="{00000000-0004-0000-0000-000022000000}"/>
    <hyperlink ref="B54" location="RMEM!A1" display="Recette moyenne par entrée" xr:uid="{00000000-0004-0000-0000-000023000000}"/>
    <hyperlink ref="B55" location="'indice de fréquentationM'!A1" display="Indice de fréquentation" xr:uid="{00000000-0004-0000-0000-000024000000}"/>
    <hyperlink ref="B56" location="tmofM!A1" display="Taux moyen d'occupation des fauteuils" xr:uid="{00000000-0004-0000-0000-000025000000}"/>
    <hyperlink ref="B59" location="étabG!A1" display="Etablissements" xr:uid="{00000000-0004-0000-0000-000026000000}"/>
    <hyperlink ref="B60" location="écransG!A1" display="Ecrans" xr:uid="{00000000-0004-0000-0000-000027000000}"/>
    <hyperlink ref="B61" location="fauteuilsG!A1" display="Fauteuils" xr:uid="{00000000-0004-0000-0000-000028000000}"/>
    <hyperlink ref="B62" location="séancesG!A1" display="Séances" xr:uid="{00000000-0004-0000-0000-000029000000}"/>
    <hyperlink ref="B63" location="entréesG!A1" display="Entrées" xr:uid="{00000000-0004-0000-0000-00002A000000}"/>
    <hyperlink ref="B64" location="recettesG!A1" display="Recettes" xr:uid="{00000000-0004-0000-0000-00002B000000}"/>
    <hyperlink ref="B65" location="RMEG!A1" display="Recette moyenne par entrée" xr:uid="{00000000-0004-0000-0000-00002C000000}"/>
    <hyperlink ref="B66" location="'indice de fréquentationG'!A1" display="Indice de fréquentation" xr:uid="{00000000-0004-0000-0000-00002D000000}"/>
    <hyperlink ref="B67" location="tmofG!A1" display="Taux moyen d'occupation des fauteuils" xr:uid="{00000000-0004-0000-0000-00002E000000}"/>
    <hyperlink ref="B11" location="Fiche!E5" display="Fiche récapitulative" xr:uid="{00000000-0004-0000-0000-00002F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P58"/>
  <sheetViews>
    <sheetView showGridLines="0" workbookViewId="0"/>
  </sheetViews>
  <sheetFormatPr baseColWidth="10" defaultColWidth="11.42578125" defaultRowHeight="12.75" x14ac:dyDescent="0.2"/>
  <cols>
    <col min="1" max="1" width="5.7109375" style="36" customWidth="1"/>
    <col min="2" max="16384" width="11.42578125" style="36"/>
  </cols>
  <sheetData>
    <row r="1" spans="1:16" x14ac:dyDescent="0.2">
      <c r="B1" s="37"/>
      <c r="C1" s="37"/>
      <c r="D1" s="37"/>
      <c r="E1" s="37"/>
      <c r="F1" s="37"/>
      <c r="G1" s="37"/>
      <c r="H1" s="37"/>
      <c r="I1" s="37"/>
      <c r="J1" s="37"/>
      <c r="K1" s="37"/>
      <c r="L1" s="37"/>
      <c r="M1" s="37"/>
      <c r="N1" s="37"/>
      <c r="O1" s="37"/>
      <c r="P1" s="37"/>
    </row>
    <row r="2" spans="1:16" s="40" customFormat="1" x14ac:dyDescent="0.2">
      <c r="A2" s="38" t="s">
        <v>32</v>
      </c>
      <c r="B2" s="39"/>
      <c r="C2" s="39"/>
      <c r="D2" s="39"/>
      <c r="E2" s="39"/>
      <c r="F2" s="39"/>
      <c r="G2" s="39"/>
      <c r="H2" s="39"/>
      <c r="I2" s="39"/>
      <c r="J2" s="39"/>
      <c r="K2" s="39"/>
      <c r="L2" s="39"/>
      <c r="M2" s="39"/>
      <c r="N2" s="39"/>
      <c r="O2" s="39"/>
      <c r="P2" s="39"/>
    </row>
    <row r="3" spans="1:16" x14ac:dyDescent="0.2">
      <c r="B3" s="37"/>
      <c r="C3" s="37"/>
      <c r="D3" s="37"/>
      <c r="E3" s="37"/>
      <c r="F3" s="37"/>
      <c r="G3" s="37"/>
      <c r="H3" s="37"/>
      <c r="I3" s="37"/>
      <c r="J3" s="37"/>
      <c r="K3" s="37"/>
      <c r="L3" s="37"/>
      <c r="M3" s="37"/>
      <c r="N3" s="37"/>
      <c r="O3" s="37"/>
      <c r="P3" s="37"/>
    </row>
    <row r="4" spans="1:16" x14ac:dyDescent="0.2">
      <c r="B4" s="37"/>
      <c r="C4" s="37"/>
      <c r="D4" s="37"/>
      <c r="E4" s="37"/>
      <c r="F4" s="37"/>
      <c r="G4" s="37"/>
      <c r="H4" s="37"/>
      <c r="I4" s="37"/>
      <c r="J4" s="37"/>
      <c r="K4" s="37"/>
      <c r="L4" s="37"/>
      <c r="M4" s="37"/>
      <c r="N4" s="37"/>
      <c r="O4" s="37"/>
      <c r="P4" s="37"/>
    </row>
    <row r="5" spans="1:16" s="41" customFormat="1" ht="15.75" x14ac:dyDescent="0.25">
      <c r="A5" s="41" t="s">
        <v>28</v>
      </c>
    </row>
    <row r="24" spans="1:1" s="41" customFormat="1" ht="15.75" x14ac:dyDescent="0.25">
      <c r="A24" s="41" t="s">
        <v>29</v>
      </c>
    </row>
    <row r="40" spans="1:1" s="41" customFormat="1" ht="15.75" x14ac:dyDescent="0.25">
      <c r="A40" s="41" t="s">
        <v>30</v>
      </c>
    </row>
    <row r="49" s="36" customFormat="1" x14ac:dyDescent="0.2"/>
    <row r="50" s="36" customFormat="1" x14ac:dyDescent="0.2"/>
    <row r="51" s="36" customFormat="1" x14ac:dyDescent="0.2"/>
    <row r="52" s="36" customFormat="1" x14ac:dyDescent="0.2"/>
    <row r="53" s="36" customFormat="1" x14ac:dyDescent="0.2"/>
    <row r="54" s="36" customFormat="1" x14ac:dyDescent="0.2"/>
    <row r="55" s="36" customFormat="1" x14ac:dyDescent="0.2"/>
    <row r="56" s="36" customFormat="1" x14ac:dyDescent="0.2"/>
    <row r="57" s="36" customFormat="1" x14ac:dyDescent="0.2"/>
    <row r="58" s="36" customFormat="1" x14ac:dyDescent="0.2"/>
  </sheetData>
  <hyperlinks>
    <hyperlink ref="A2" location="Sommaire!A1" display="Retour au menu &quot;Exploitation des films&quot;" xr:uid="{00000000-0004-0000-0100-000000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86"/>
  <sheetViews>
    <sheetView workbookViewId="0"/>
  </sheetViews>
  <sheetFormatPr baseColWidth="10" defaultColWidth="11.42578125" defaultRowHeight="12.75" x14ac:dyDescent="0.2"/>
  <cols>
    <col min="1" max="1" width="30" style="36" customWidth="1"/>
    <col min="2" max="2" width="9.140625" style="51" bestFit="1" customWidth="1"/>
    <col min="3" max="21" width="7.42578125" style="51" bestFit="1" customWidth="1"/>
    <col min="22" max="22" width="7.42578125" style="51" customWidth="1"/>
    <col min="23" max="27" width="7.42578125" style="51" bestFit="1" customWidth="1"/>
    <col min="28" max="28" width="7.42578125" style="36" bestFit="1" customWidth="1"/>
    <col min="29" max="30" width="7.42578125" style="36" customWidth="1"/>
    <col min="31" max="31" width="6.7109375" style="36" bestFit="1" customWidth="1"/>
    <col min="32" max="33" width="8.5703125" style="36" bestFit="1" customWidth="1"/>
    <col min="34" max="50" width="5" style="36" bestFit="1" customWidth="1"/>
    <col min="51" max="16384" width="11.42578125" style="36"/>
  </cols>
  <sheetData>
    <row r="1" spans="1:50" x14ac:dyDescent="0.2">
      <c r="B1" s="50"/>
      <c r="C1" s="50"/>
      <c r="D1" s="50"/>
      <c r="E1" s="50"/>
      <c r="F1" s="50"/>
      <c r="G1" s="50"/>
      <c r="H1" s="50"/>
      <c r="I1" s="50"/>
      <c r="J1" s="50"/>
      <c r="K1" s="50"/>
      <c r="L1" s="50"/>
      <c r="M1" s="50"/>
      <c r="N1" s="50"/>
      <c r="O1" s="50"/>
      <c r="P1" s="50"/>
      <c r="Q1" s="50"/>
    </row>
    <row r="2" spans="1:50" s="40" customFormat="1" x14ac:dyDescent="0.2">
      <c r="A2" s="38" t="s">
        <v>32</v>
      </c>
      <c r="B2" s="52"/>
      <c r="C2" s="52"/>
      <c r="D2" s="52"/>
      <c r="E2" s="52"/>
      <c r="F2" s="52"/>
      <c r="G2" s="52"/>
      <c r="H2" s="52"/>
      <c r="I2" s="52"/>
      <c r="J2" s="52"/>
      <c r="K2" s="52"/>
      <c r="L2" s="52"/>
      <c r="M2" s="52"/>
      <c r="N2" s="52"/>
      <c r="O2" s="52"/>
      <c r="P2" s="52"/>
      <c r="Q2" s="52"/>
      <c r="R2" s="53"/>
      <c r="S2" s="53"/>
      <c r="T2" s="53"/>
      <c r="U2" s="53"/>
      <c r="V2" s="53"/>
      <c r="W2" s="53"/>
      <c r="X2" s="53"/>
      <c r="Y2" s="53"/>
      <c r="Z2" s="53"/>
      <c r="AA2" s="53"/>
    </row>
    <row r="3" spans="1:50" x14ac:dyDescent="0.2">
      <c r="B3" s="50"/>
      <c r="C3" s="50"/>
      <c r="D3" s="50"/>
      <c r="E3" s="50"/>
      <c r="F3" s="50"/>
      <c r="G3" s="50"/>
      <c r="H3" s="50"/>
      <c r="I3" s="50"/>
      <c r="J3" s="50"/>
      <c r="K3" s="50"/>
      <c r="L3" s="50"/>
      <c r="M3" s="50"/>
      <c r="N3" s="50"/>
      <c r="O3" s="50"/>
      <c r="P3" s="50"/>
      <c r="Q3" s="50"/>
    </row>
    <row r="4" spans="1:50" x14ac:dyDescent="0.2">
      <c r="B4" s="50"/>
      <c r="C4" s="50"/>
      <c r="D4" s="50"/>
      <c r="E4" s="50"/>
      <c r="F4" s="50"/>
      <c r="G4" s="50"/>
      <c r="H4" s="50"/>
      <c r="I4" s="50"/>
      <c r="J4" s="50"/>
      <c r="K4" s="50"/>
      <c r="L4" s="50"/>
      <c r="M4" s="50"/>
      <c r="N4" s="50"/>
      <c r="O4" s="50"/>
      <c r="P4" s="50"/>
      <c r="Q4" s="50"/>
    </row>
    <row r="5" spans="1:50" x14ac:dyDescent="0.2">
      <c r="A5" s="45" t="s">
        <v>68</v>
      </c>
      <c r="E5" s="83" t="s">
        <v>72</v>
      </c>
      <c r="F5" s="83"/>
      <c r="G5" s="83"/>
      <c r="H5" s="83"/>
      <c r="I5" s="83"/>
      <c r="J5" s="36"/>
      <c r="K5" s="36"/>
      <c r="L5" s="36"/>
    </row>
    <row r="8" spans="1:50" x14ac:dyDescent="0.2">
      <c r="A8" s="54" t="s">
        <v>69</v>
      </c>
      <c r="B8" s="55" t="str">
        <f>E5</f>
        <v>AUVERGNE-RHONE-ALPES</v>
      </c>
    </row>
    <row r="10" spans="1:50" x14ac:dyDescent="0.2">
      <c r="A10" s="45" t="s">
        <v>56</v>
      </c>
    </row>
    <row r="11" spans="1:50" ht="3" customHeight="1" x14ac:dyDescent="0.2">
      <c r="B11" s="66">
        <v>2</v>
      </c>
      <c r="C11" s="66">
        <v>3</v>
      </c>
      <c r="D11" s="66">
        <v>4</v>
      </c>
      <c r="E11" s="66">
        <v>5</v>
      </c>
      <c r="F11" s="66">
        <v>6</v>
      </c>
      <c r="G11" s="66">
        <v>7</v>
      </c>
      <c r="H11" s="66">
        <v>8</v>
      </c>
      <c r="I11" s="66">
        <v>9</v>
      </c>
      <c r="J11" s="66">
        <v>10</v>
      </c>
      <c r="K11" s="66">
        <v>11</v>
      </c>
      <c r="L11" s="66">
        <v>12</v>
      </c>
      <c r="M11" s="66">
        <v>13</v>
      </c>
      <c r="N11" s="66">
        <v>14</v>
      </c>
      <c r="O11" s="66">
        <v>15</v>
      </c>
      <c r="P11" s="66">
        <v>16</v>
      </c>
      <c r="Q11" s="66">
        <v>17</v>
      </c>
      <c r="R11" s="66">
        <v>18</v>
      </c>
      <c r="S11" s="66">
        <v>19</v>
      </c>
      <c r="T11" s="66">
        <v>20</v>
      </c>
      <c r="U11" s="66">
        <v>21</v>
      </c>
      <c r="V11" s="66">
        <v>22</v>
      </c>
      <c r="W11" s="66">
        <v>23</v>
      </c>
      <c r="X11" s="66">
        <v>24</v>
      </c>
      <c r="Y11" s="66">
        <v>25</v>
      </c>
      <c r="Z11" s="66">
        <v>26</v>
      </c>
      <c r="AA11" s="66">
        <v>27</v>
      </c>
    </row>
    <row r="12" spans="1:50" s="45" customFormat="1" x14ac:dyDescent="0.2">
      <c r="A12" s="48"/>
      <c r="B12" s="56">
        <v>1966</v>
      </c>
      <c r="C12" s="56">
        <v>1967</v>
      </c>
      <c r="D12" s="56">
        <v>1968</v>
      </c>
      <c r="E12" s="56">
        <v>1969</v>
      </c>
      <c r="F12" s="56">
        <v>1970</v>
      </c>
      <c r="G12" s="56">
        <v>1971</v>
      </c>
      <c r="H12" s="56">
        <v>1972</v>
      </c>
      <c r="I12" s="56">
        <v>1973</v>
      </c>
      <c r="J12" s="56">
        <v>1974</v>
      </c>
      <c r="K12" s="56">
        <v>1975</v>
      </c>
      <c r="L12" s="56">
        <v>1976</v>
      </c>
      <c r="M12" s="56">
        <v>1977</v>
      </c>
      <c r="N12" s="56">
        <v>1978</v>
      </c>
      <c r="O12" s="56">
        <v>1979</v>
      </c>
      <c r="P12" s="56">
        <v>1980</v>
      </c>
      <c r="Q12" s="56">
        <v>1981</v>
      </c>
      <c r="R12" s="56">
        <v>1982</v>
      </c>
      <c r="S12" s="56">
        <v>1983</v>
      </c>
      <c r="T12" s="56">
        <v>1984</v>
      </c>
      <c r="U12" s="56">
        <v>1985</v>
      </c>
      <c r="V12" s="56">
        <v>1986</v>
      </c>
      <c r="W12" s="56">
        <v>1987</v>
      </c>
      <c r="X12" s="56">
        <v>1988</v>
      </c>
      <c r="Y12" s="56">
        <v>1989</v>
      </c>
      <c r="Z12" s="56">
        <v>1990</v>
      </c>
      <c r="AA12" s="56">
        <v>1991</v>
      </c>
      <c r="AB12" s="48"/>
      <c r="AC12" s="48"/>
      <c r="AD12" s="48"/>
      <c r="AE12" s="48"/>
      <c r="AF12" s="48"/>
      <c r="AG12" s="48"/>
      <c r="AH12" s="48"/>
      <c r="AI12" s="48"/>
      <c r="AJ12" s="48"/>
      <c r="AK12" s="48"/>
      <c r="AL12" s="48"/>
      <c r="AM12" s="48"/>
      <c r="AN12" s="48"/>
      <c r="AO12" s="48"/>
      <c r="AP12" s="48"/>
      <c r="AQ12" s="48"/>
      <c r="AR12" s="48"/>
      <c r="AS12" s="48"/>
      <c r="AT12" s="48"/>
      <c r="AU12" s="48"/>
      <c r="AV12" s="48"/>
      <c r="AW12" s="48"/>
      <c r="AX12" s="48"/>
    </row>
    <row r="13" spans="1:50" x14ac:dyDescent="0.2">
      <c r="A13" s="46" t="s">
        <v>57</v>
      </c>
      <c r="B13" s="4">
        <f>IF(VLOOKUP($B$8,écrans!$A:$CA,B$11,0)=0,"-",VLOOKUP($B$8,écrans!$A:$CA,B$11,0))</f>
        <v>586</v>
      </c>
      <c r="C13" s="4">
        <f>IF(VLOOKUP($B$8,écrans!$A:$CA,C$11,0)=0,"-",VLOOKUP($B$8,écrans!$A:$CA,C$11,0))</f>
        <v>563</v>
      </c>
      <c r="D13" s="4">
        <f>IF(VLOOKUP($B$8,écrans!$A:$CA,D$11,0)=0,"-",VLOOKUP($B$8,écrans!$A:$CA,D$11,0))</f>
        <v>543</v>
      </c>
      <c r="E13" s="4">
        <f>IF(VLOOKUP($B$8,écrans!$A:$CA,E$11,0)=0,"-",VLOOKUP($B$8,écrans!$A:$CA,E$11,0))</f>
        <v>532</v>
      </c>
      <c r="F13" s="4">
        <f>IF(VLOOKUP($B$8,écrans!$A:$CA,F$11,0)=0,"-",VLOOKUP($B$8,écrans!$A:$CA,F$11,0))</f>
        <v>506</v>
      </c>
      <c r="G13" s="4">
        <f>IF(VLOOKUP($B$8,écrans!$A:$CA,G$11,0)=0,"-",VLOOKUP($B$8,écrans!$A:$CA,G$11,0))</f>
        <v>482</v>
      </c>
      <c r="H13" s="4">
        <f>IF(VLOOKUP($B$8,écrans!$A:$CA,H$11,0)=0,"-",VLOOKUP($B$8,écrans!$A:$CA,H$11,0))</f>
        <v>472</v>
      </c>
      <c r="I13" s="4">
        <f>IF(VLOOKUP($B$8,écrans!$A:$CA,I$11,0)=0,"-",VLOOKUP($B$8,écrans!$A:$CA,I$11,0))</f>
        <v>496</v>
      </c>
      <c r="J13" s="4">
        <f>IF(VLOOKUP($B$8,écrans!$A:$CA,J$11,0)=0,"-",VLOOKUP($B$8,écrans!$A:$CA,J$11,0))</f>
        <v>498</v>
      </c>
      <c r="K13" s="4">
        <f>IF(VLOOKUP($B$8,écrans!$A:$CA,K$11,0)=0,"-",VLOOKUP($B$8,écrans!$A:$CA,K$11,0))</f>
        <v>517</v>
      </c>
      <c r="L13" s="4">
        <f>IF(VLOOKUP($B$8,écrans!$A:$CA,L$11,0)=0,"-",VLOOKUP($B$8,écrans!$A:$CA,L$11,0))</f>
        <v>540</v>
      </c>
      <c r="M13" s="4">
        <f>IF(VLOOKUP($B$8,écrans!$A:$CA,M$11,0)=0,"-",VLOOKUP($B$8,écrans!$A:$CA,M$11,0))</f>
        <v>545</v>
      </c>
      <c r="N13" s="4">
        <f>IF(VLOOKUP($B$8,écrans!$A:$CA,N$11,0)=0,"-",VLOOKUP($B$8,écrans!$A:$CA,N$11,0))</f>
        <v>547</v>
      </c>
      <c r="O13" s="4">
        <f>IF(VLOOKUP($B$8,écrans!$A:$CA,O$11,0)=0,"-",VLOOKUP($B$8,écrans!$A:$CA,O$11,0))</f>
        <v>548</v>
      </c>
      <c r="P13" s="4">
        <f>IF(VLOOKUP($B$8,écrans!$A:$CA,P$11,0)=0,"-",VLOOKUP($B$8,écrans!$A:$CA,P$11,0))</f>
        <v>573</v>
      </c>
      <c r="Q13" s="4">
        <f>IF(VLOOKUP($B$8,écrans!$A:$CA,Q$11,0)=0,"-",VLOOKUP($B$8,écrans!$A:$CA,Q$11,0))</f>
        <v>624</v>
      </c>
      <c r="R13" s="4">
        <f>IF(VLOOKUP($B$8,écrans!$A:$CA,R$11,0)=0,"-",VLOOKUP($B$8,écrans!$A:$CA,R$11,0))</f>
        <v>669</v>
      </c>
      <c r="S13" s="4">
        <f>IF(VLOOKUP($B$8,écrans!$A:$CA,S$11,0)=0,"-",VLOOKUP($B$8,écrans!$A:$CA,S$11,0))</f>
        <v>693</v>
      </c>
      <c r="T13" s="4">
        <f>IF(VLOOKUP($B$8,écrans!$A:$CA,T$11,0)=0,"-",VLOOKUP($B$8,écrans!$A:$CA,T$11,0))</f>
        <v>736</v>
      </c>
      <c r="U13" s="4">
        <f>IF(VLOOKUP($B$8,écrans!$A:$CA,U$11,0)=0,"-",VLOOKUP($B$8,écrans!$A:$CA,U$11,0))</f>
        <v>742</v>
      </c>
      <c r="V13" s="4">
        <f>IF(VLOOKUP($B$8,écrans!$A:$CA,V$11,0)=0,"-",VLOOKUP($B$8,écrans!$A:$CA,V$11,0))</f>
        <v>743</v>
      </c>
      <c r="W13" s="4">
        <f>IF(VLOOKUP($B$8,écrans!$A:$CA,W$11,0)=0,"-",VLOOKUP($B$8,écrans!$A:$CA,W$11,0))</f>
        <v>728</v>
      </c>
      <c r="X13" s="4">
        <f>IF(VLOOKUP($B$8,écrans!$A:$CA,X$11,0)=0,"-",VLOOKUP($B$8,écrans!$A:$CA,X$11,0))</f>
        <v>706</v>
      </c>
      <c r="Y13" s="4">
        <f>IF(VLOOKUP($B$8,écrans!$A:$CA,Y$11,0)=0,"-",VLOOKUP($B$8,écrans!$A:$CA,Y$11,0))</f>
        <v>692</v>
      </c>
      <c r="Z13" s="4">
        <f>IF(VLOOKUP($B$8,écrans!$A:$CA,Z$11,0)=0,"-",VLOOKUP($B$8,écrans!$A:$CA,Z$11,0))</f>
        <v>674</v>
      </c>
      <c r="AA13" s="4">
        <f>IF(VLOOKUP($B$8,écrans!$A:$CA,AA$11,0)=0,"-",VLOOKUP($B$8,écrans!$A:$CA,AA$11,0))</f>
        <v>657</v>
      </c>
      <c r="AB13" s="46"/>
      <c r="AC13" s="46"/>
      <c r="AD13" s="46"/>
      <c r="AE13" s="46"/>
      <c r="AF13" s="46"/>
      <c r="AG13" s="46"/>
      <c r="AH13" s="46"/>
      <c r="AI13" s="46"/>
      <c r="AJ13" s="46"/>
      <c r="AK13" s="46"/>
      <c r="AL13" s="46"/>
      <c r="AM13" s="46"/>
      <c r="AN13" s="46"/>
      <c r="AO13" s="46"/>
      <c r="AP13" s="46"/>
      <c r="AQ13" s="46"/>
      <c r="AR13" s="46"/>
      <c r="AS13" s="46"/>
      <c r="AT13" s="46"/>
      <c r="AU13" s="46"/>
      <c r="AV13" s="46"/>
      <c r="AW13" s="46"/>
      <c r="AX13" s="46"/>
    </row>
    <row r="14" spans="1:50" x14ac:dyDescent="0.2">
      <c r="A14" s="46" t="s">
        <v>58</v>
      </c>
      <c r="B14" s="57">
        <f>IF(VLOOKUP($B$8,fauteuils!$A:$CA,B$11,0)=0,"-",VLOOKUP($B$8,fauteuils!$A:$CA,B$11,0))</f>
        <v>252759</v>
      </c>
      <c r="C14" s="57">
        <f>IF(VLOOKUP($B$8,fauteuils!$A:$CA,C$11,0)=0,"-",VLOOKUP($B$8,fauteuils!$A:$CA,C$11,0))</f>
        <v>244198</v>
      </c>
      <c r="D14" s="57">
        <f>IF(VLOOKUP($B$8,fauteuils!$A:$CA,D$11,0)=0,"-",VLOOKUP($B$8,fauteuils!$A:$CA,D$11,0))</f>
        <v>237316</v>
      </c>
      <c r="E14" s="57">
        <f>IF(VLOOKUP($B$8,fauteuils!$A:$CA,E$11,0)=0,"-",VLOOKUP($B$8,fauteuils!$A:$CA,E$11,0))</f>
        <v>232259</v>
      </c>
      <c r="F14" s="57">
        <f>IF(VLOOKUP($B$8,fauteuils!$A:$CA,F$11,0)=0,"-",VLOOKUP($B$8,fauteuils!$A:$CA,F$11,0))</f>
        <v>220107</v>
      </c>
      <c r="G14" s="57">
        <f>IF(VLOOKUP($B$8,fauteuils!$A:$CA,G$11,0)=0,"-",VLOOKUP($B$8,fauteuils!$A:$CA,G$11,0))</f>
        <v>207457</v>
      </c>
      <c r="H14" s="57">
        <f>IF(VLOOKUP($B$8,fauteuils!$A:$CA,H$11,0)=0,"-",VLOOKUP($B$8,fauteuils!$A:$CA,H$11,0))</f>
        <v>199148</v>
      </c>
      <c r="I14" s="57">
        <f>IF(VLOOKUP($B$8,fauteuils!$A:$CA,I$11,0)=0,"-",VLOOKUP($B$8,fauteuils!$A:$CA,I$11,0))</f>
        <v>197696</v>
      </c>
      <c r="J14" s="57">
        <f>IF(VLOOKUP($B$8,fauteuils!$A:$CA,J$11,0)=0,"-",VLOOKUP($B$8,fauteuils!$A:$CA,J$11,0))</f>
        <v>194290</v>
      </c>
      <c r="K14" s="57">
        <f>IF(VLOOKUP($B$8,fauteuils!$A:$CA,K$11,0)=0,"-",VLOOKUP($B$8,fauteuils!$A:$CA,K$11,0))</f>
        <v>194004</v>
      </c>
      <c r="L14" s="57">
        <f>IF(VLOOKUP($B$8,fauteuils!$A:$CA,L$11,0)=0,"-",VLOOKUP($B$8,fauteuils!$A:$CA,L$11,0))</f>
        <v>185883</v>
      </c>
      <c r="M14" s="57">
        <f>IF(VLOOKUP($B$8,fauteuils!$A:$CA,M$11,0)=0,"-",VLOOKUP($B$8,fauteuils!$A:$CA,M$11,0))</f>
        <v>178148</v>
      </c>
      <c r="N14" s="57">
        <f>IF(VLOOKUP($B$8,fauteuils!$A:$CA,N$11,0)=0,"-",VLOOKUP($B$8,fauteuils!$A:$CA,N$11,0))</f>
        <v>169086</v>
      </c>
      <c r="O14" s="57">
        <f>IF(VLOOKUP($B$8,fauteuils!$A:$CA,O$11,0)=0,"-",VLOOKUP($B$8,fauteuils!$A:$CA,O$11,0))</f>
        <v>162140</v>
      </c>
      <c r="P14" s="57">
        <f>IF(VLOOKUP($B$8,fauteuils!$A:$CA,P$11,0)=0,"-",VLOOKUP($B$8,fauteuils!$A:$CA,P$11,0))</f>
        <v>159098</v>
      </c>
      <c r="Q14" s="57">
        <f>IF(VLOOKUP($B$8,fauteuils!$A:$CA,Q$11,0)=0,"-",VLOOKUP($B$8,fauteuils!$A:$CA,Q$11,0))</f>
        <v>159281</v>
      </c>
      <c r="R14" s="57">
        <f>IF(VLOOKUP($B$8,fauteuils!$A:$CA,R$11,0)=0,"-",VLOOKUP($B$8,fauteuils!$A:$CA,R$11,0))</f>
        <v>163698</v>
      </c>
      <c r="S14" s="57">
        <f>IF(VLOOKUP($B$8,fauteuils!$A:$CA,S$11,0)=0,"-",VLOOKUP($B$8,fauteuils!$A:$CA,S$11,0))</f>
        <v>164113</v>
      </c>
      <c r="T14" s="57">
        <f>IF(VLOOKUP($B$8,fauteuils!$A:$CA,T$11,0)=0,"-",VLOOKUP($B$8,fauteuils!$A:$CA,T$11,0))</f>
        <v>163647</v>
      </c>
      <c r="U14" s="57">
        <f>IF(VLOOKUP($B$8,fauteuils!$A:$CA,U$11,0)=0,"-",VLOOKUP($B$8,fauteuils!$A:$CA,U$11,0))</f>
        <v>161368</v>
      </c>
      <c r="V14" s="57">
        <f>IF(VLOOKUP($B$8,fauteuils!$A:$CA,V$11,0)=0,"-",VLOOKUP($B$8,fauteuils!$A:$CA,V$11,0))</f>
        <v>157166</v>
      </c>
      <c r="W14" s="57">
        <f>IF(VLOOKUP($B$8,fauteuils!$A:$CA,W$11,0)=0,"-",VLOOKUP($B$8,fauteuils!$A:$CA,W$11,0))</f>
        <v>150376</v>
      </c>
      <c r="X14" s="57">
        <f>IF(VLOOKUP($B$8,fauteuils!$A:$CA,X$11,0)=0,"-",VLOOKUP($B$8,fauteuils!$A:$CA,X$11,0))</f>
        <v>144649</v>
      </c>
      <c r="Y14" s="57">
        <f>IF(VLOOKUP($B$8,fauteuils!$A:$CA,Y$11,0)=0,"-",VLOOKUP($B$8,fauteuils!$A:$CA,Y$11,0))</f>
        <v>139992</v>
      </c>
      <c r="Z14" s="57">
        <f>IF(VLOOKUP($B$8,fauteuils!$A:$CA,Z$11,0)=0,"-",VLOOKUP($B$8,fauteuils!$A:$CA,Z$11,0))</f>
        <v>134699</v>
      </c>
      <c r="AA14" s="57">
        <f>IF(VLOOKUP($B$8,fauteuils!$A:$CA,AA$11,0)=0,"-",VLOOKUP($B$8,fauteuils!$A:$CA,AA$11,0))</f>
        <v>131002</v>
      </c>
      <c r="AB14" s="46"/>
      <c r="AC14" s="46"/>
      <c r="AD14" s="46"/>
      <c r="AE14" s="46"/>
      <c r="AF14" s="46"/>
      <c r="AG14" s="46"/>
      <c r="AH14" s="46"/>
      <c r="AI14" s="46"/>
      <c r="AJ14" s="46"/>
      <c r="AK14" s="46"/>
      <c r="AL14" s="46"/>
      <c r="AM14" s="46"/>
      <c r="AN14" s="46"/>
      <c r="AO14" s="46"/>
      <c r="AP14" s="46"/>
      <c r="AQ14" s="46"/>
      <c r="AR14" s="46"/>
      <c r="AS14" s="46"/>
      <c r="AT14" s="46"/>
      <c r="AU14" s="46"/>
      <c r="AV14" s="46"/>
      <c r="AW14" s="46"/>
      <c r="AX14" s="46"/>
    </row>
    <row r="15" spans="1:50" x14ac:dyDescent="0.2">
      <c r="A15" s="46" t="s">
        <v>59</v>
      </c>
      <c r="B15" s="58">
        <f>IF(VLOOKUP($B$8,entrées!$A:$CB,B$11,0)=0,"-",VLOOKUP($B$8,entrées!$A:$CB,B$11,0))</f>
        <v>21911664</v>
      </c>
      <c r="C15" s="58">
        <f>IF(VLOOKUP($B$8,entrées!$A:$CB,C$11,0)=0,"-",VLOOKUP($B$8,entrées!$A:$CB,C$11,0))</f>
        <v>20066356</v>
      </c>
      <c r="D15" s="58">
        <f>IF(VLOOKUP($B$8,entrées!$A:$CB,D$11,0)=0,"-",VLOOKUP($B$8,entrées!$A:$CB,D$11,0))</f>
        <v>19271896</v>
      </c>
      <c r="E15" s="58">
        <f>IF(VLOOKUP($B$8,entrées!$A:$CB,E$11,0)=0,"-",VLOOKUP($B$8,entrées!$A:$CB,E$11,0))</f>
        <v>17968172</v>
      </c>
      <c r="F15" s="58">
        <f>IF(VLOOKUP($B$8,entrées!$A:$CB,F$11,0)=0,"-",VLOOKUP($B$8,entrées!$A:$CB,F$11,0))</f>
        <v>18166206</v>
      </c>
      <c r="G15" s="58">
        <f>IF(VLOOKUP($B$8,entrées!$A:$CB,G$11,0)=0,"-",VLOOKUP($B$8,entrées!$A:$CB,G$11,0))</f>
        <v>17492467</v>
      </c>
      <c r="H15" s="58">
        <f>IF(VLOOKUP($B$8,entrées!$A:$CB,H$11,0)=0,"-",VLOOKUP($B$8,entrées!$A:$CB,H$11,0))</f>
        <v>18196735</v>
      </c>
      <c r="I15" s="58">
        <f>IF(VLOOKUP($B$8,entrées!$A:$CB,I$11,0)=0,"-",VLOOKUP($B$8,entrées!$A:$CB,I$11,0))</f>
        <v>17775071</v>
      </c>
      <c r="J15" s="58">
        <f>IF(VLOOKUP($B$8,entrées!$A:$CB,J$11,0)=0,"-",VLOOKUP($B$8,entrées!$A:$CB,J$11,0))</f>
        <v>18358414</v>
      </c>
      <c r="K15" s="58">
        <f>IF(VLOOKUP($B$8,entrées!$A:$CB,K$11,0)=0,"-",VLOOKUP($B$8,entrées!$A:$CB,K$11,0))</f>
        <v>18390913</v>
      </c>
      <c r="L15" s="58">
        <f>IF(VLOOKUP($B$8,entrées!$A:$CB,L$11,0)=0,"-",VLOOKUP($B$8,entrées!$A:$CB,L$11,0))</f>
        <v>18350318</v>
      </c>
      <c r="M15" s="58">
        <f>IF(VLOOKUP($B$8,entrées!$A:$CB,M$11,0)=0,"-",VLOOKUP($B$8,entrées!$A:$CB,M$11,0))</f>
        <v>17758345</v>
      </c>
      <c r="N15" s="58">
        <f>IF(VLOOKUP($B$8,entrées!$A:$CB,N$11,0)=0,"-",VLOOKUP($B$8,entrées!$A:$CB,N$11,0))</f>
        <v>18887505</v>
      </c>
      <c r="O15" s="58">
        <f>IF(VLOOKUP($B$8,entrées!$A:$CB,O$11,0)=0,"-",VLOOKUP($B$8,entrées!$A:$CB,O$11,0))</f>
        <v>18863358</v>
      </c>
      <c r="P15" s="58">
        <f>IF(VLOOKUP($B$8,entrées!$A:$CB,P$11,0)=0,"-",VLOOKUP($B$8,entrées!$A:$CB,P$11,0))</f>
        <v>18331852</v>
      </c>
      <c r="Q15" s="58">
        <f>IF(VLOOKUP($B$8,entrées!$A:$CB,Q$11,0)=0,"-",VLOOKUP($B$8,entrées!$A:$CB,Q$11,0))</f>
        <v>21032621</v>
      </c>
      <c r="R15" s="58">
        <f>IF(VLOOKUP($B$8,entrées!$A:$CB,R$11,0)=0,"-",VLOOKUP($B$8,entrées!$A:$CB,R$11,0))</f>
        <v>23249386</v>
      </c>
      <c r="S15" s="58">
        <f>IF(VLOOKUP($B$8,entrées!$A:$CB,S$11,0)=0,"-",VLOOKUP($B$8,entrées!$A:$CB,S$11,0))</f>
        <v>23369900</v>
      </c>
      <c r="T15" s="58">
        <f>IF(VLOOKUP($B$8,entrées!$A:$CB,T$11,0)=0,"-",VLOOKUP($B$8,entrées!$A:$CB,T$11,0))</f>
        <v>22499245</v>
      </c>
      <c r="U15" s="58">
        <f>IF(VLOOKUP($B$8,entrées!$A:$CB,U$11,0)=0,"-",VLOOKUP($B$8,entrées!$A:$CB,U$11,0))</f>
        <v>20815850</v>
      </c>
      <c r="V15" s="58">
        <f>IF(VLOOKUP($B$8,entrées!$A:$CB,V$11,0)=0,"-",VLOOKUP($B$8,entrées!$A:$CB,V$11,0))</f>
        <v>20335022</v>
      </c>
      <c r="W15" s="58">
        <f>IF(VLOOKUP($B$8,entrées!$A:$CB,W$11,0)=0,"-",VLOOKUP($B$8,entrées!$A:$CB,W$11,0))</f>
        <v>17023667.054198612</v>
      </c>
      <c r="X15" s="58">
        <f>IF(VLOOKUP($B$8,entrées!$A:$CB,X$11,0)=0,"-",VLOOKUP($B$8,entrées!$A:$CB,X$11,0))</f>
        <v>15109520.424777312</v>
      </c>
      <c r="Y15" s="58">
        <f>IF(VLOOKUP($B$8,entrées!$A:$CB,Y$11,0)=0,"-",VLOOKUP($B$8,entrées!$A:$CB,Y$11,0))</f>
        <v>14847195.548943788</v>
      </c>
      <c r="Z15" s="58">
        <f>IF(VLOOKUP($B$8,entrées!$A:$CB,Z$11,0)=0,"-",VLOOKUP($B$8,entrées!$A:$CB,Z$11,0))</f>
        <v>14905719.079721477</v>
      </c>
      <c r="AA15" s="58">
        <f>IF(VLOOKUP($B$8,entrées!$A:$CB,AA$11,0)=0,"-",VLOOKUP($B$8,entrées!$A:$CB,AA$11,0))</f>
        <v>14062985.517750414</v>
      </c>
      <c r="AB15" s="46"/>
      <c r="AC15" s="46"/>
      <c r="AD15" s="46"/>
      <c r="AE15" s="46"/>
      <c r="AF15" s="46"/>
      <c r="AG15" s="46"/>
      <c r="AH15" s="46"/>
      <c r="AI15" s="46"/>
      <c r="AJ15" s="46"/>
      <c r="AK15" s="46"/>
      <c r="AL15" s="46"/>
      <c r="AM15" s="46"/>
      <c r="AN15" s="46"/>
      <c r="AO15" s="46"/>
      <c r="AP15" s="46"/>
      <c r="AQ15" s="46"/>
      <c r="AR15" s="46"/>
      <c r="AS15" s="46"/>
      <c r="AT15" s="46"/>
      <c r="AU15" s="46"/>
      <c r="AV15" s="46"/>
      <c r="AW15" s="46"/>
      <c r="AX15" s="46"/>
    </row>
    <row r="16" spans="1:50" x14ac:dyDescent="0.2">
      <c r="A16" s="46" t="s">
        <v>60</v>
      </c>
      <c r="B16" s="58">
        <f>IF(VLOOKUP($B$8,recettes!$A:$CB,B$11,0)=0,"-",VLOOKUP($B$8,recettes!$A:$CB,B$11,0))</f>
        <v>11430225.609300612</v>
      </c>
      <c r="C16" s="58">
        <f>IF(VLOOKUP($B$8,recettes!$A:$CB,C$11,0)=0,"-",VLOOKUP($B$8,recettes!$A:$CB,C$11,0))</f>
        <v>11478893.128665445</v>
      </c>
      <c r="D16" s="58">
        <f>IF(VLOOKUP($B$8,recettes!$A:$CB,D$11,0)=0,"-",VLOOKUP($B$8,recettes!$A:$CB,D$11,0))</f>
        <v>11365514.202912692</v>
      </c>
      <c r="E16" s="58">
        <f>IF(VLOOKUP($B$8,recettes!$A:$CB,E$11,0)=0,"-",VLOOKUP($B$8,recettes!$A:$CB,E$11,0))</f>
        <v>11956259.023076206</v>
      </c>
      <c r="F16" s="58">
        <f>IF(VLOOKUP($B$8,recettes!$A:$CB,F$11,0)=0,"-",VLOOKUP($B$8,recettes!$A:$CB,F$11,0))</f>
        <v>13135298.045451151</v>
      </c>
      <c r="G16" s="58">
        <f>IF(VLOOKUP($B$8,recettes!$A:$CB,G$11,0)=0,"-",VLOOKUP($B$8,recettes!$A:$CB,G$11,0))</f>
        <v>14105632.53383987</v>
      </c>
      <c r="H16" s="58">
        <f>IF(VLOOKUP($B$8,recettes!$A:$CB,H$11,0)=0,"-",VLOOKUP($B$8,recettes!$A:$CB,H$11,0))</f>
        <v>16212011.91541519</v>
      </c>
      <c r="I16" s="58">
        <f>IF(VLOOKUP($B$8,recettes!$A:$CB,I$11,0)=0,"-",VLOOKUP($B$8,recettes!$A:$CB,I$11,0))</f>
        <v>17734351.337054107</v>
      </c>
      <c r="J16" s="58">
        <f>IF(VLOOKUP($B$8,recettes!$A:$CB,J$11,0)=0,"-",VLOOKUP($B$8,recettes!$A:$CB,J$11,0))</f>
        <v>20665546.064757295</v>
      </c>
      <c r="K16" s="58">
        <f>IF(VLOOKUP($B$8,recettes!$A:$CB,K$11,0)=0,"-",VLOOKUP($B$8,recettes!$A:$CB,K$11,0))</f>
        <v>23638908.6479754</v>
      </c>
      <c r="L16" s="58">
        <f>IF(VLOOKUP($B$8,recettes!$A:$CB,L$11,0)=0,"-",VLOOKUP($B$8,recettes!$A:$CB,L$11,0))</f>
        <v>27049095.901103273</v>
      </c>
      <c r="M16" s="58">
        <f>IF(VLOOKUP($B$8,recettes!$A:$CB,M$11,0)=0,"-",VLOOKUP($B$8,recettes!$A:$CB,M$11,0))</f>
        <v>28833539.088690262</v>
      </c>
      <c r="N16" s="58">
        <f>IF(VLOOKUP($B$8,recettes!$A:$CB,N$11,0)=0,"-",VLOOKUP($B$8,recettes!$A:$CB,N$11,0))</f>
        <v>33478896.025196776</v>
      </c>
      <c r="O16" s="58">
        <f>IF(VLOOKUP($B$8,recettes!$A:$CB,O$11,0)=0,"-",VLOOKUP($B$8,recettes!$A:$CB,O$11,0))</f>
        <v>36792584.727352552</v>
      </c>
      <c r="P16" s="58">
        <f>IF(VLOOKUP($B$8,recettes!$A:$CB,P$11,0)=0,"-",VLOOKUP($B$8,recettes!$A:$CB,P$11,0))</f>
        <v>45259608.175535895</v>
      </c>
      <c r="Q16" s="58">
        <f>IF(VLOOKUP($B$8,recettes!$A:$CB,Q$11,0)=0,"-",VLOOKUP($B$8,recettes!$A:$CB,Q$11,0))</f>
        <v>58207333.102627158</v>
      </c>
      <c r="R16" s="58">
        <f>IF(VLOOKUP($B$8,recettes!$A:$CB,R$11,0)=0,"-",VLOOKUP($B$8,recettes!$A:$CB,R$11,0))</f>
        <v>71599154.212852374</v>
      </c>
      <c r="S16" s="58">
        <f>IF(VLOOKUP($B$8,recettes!$A:$CB,S$11,0)=0,"-",VLOOKUP($B$8,recettes!$A:$CB,S$11,0))</f>
        <v>77037324.092890233</v>
      </c>
      <c r="T16" s="58">
        <f>IF(VLOOKUP($B$8,recettes!$A:$CB,T$11,0)=0,"-",VLOOKUP($B$8,recettes!$A:$CB,T$11,0))</f>
        <v>78516738.597194642</v>
      </c>
      <c r="U16" s="58">
        <f>IF(VLOOKUP($B$8,recettes!$A:$CB,U$11,0)=0,"-",VLOOKUP($B$8,recettes!$A:$CB,U$11,0))</f>
        <v>76985636.4060449</v>
      </c>
      <c r="V16" s="58">
        <f>IF(VLOOKUP($B$8,recettes!$A:$CB,V$11,0)=0,"-",VLOOKUP($B$8,recettes!$A:$CB,V$11,0))</f>
        <v>79981038.097563565</v>
      </c>
      <c r="W16" s="58">
        <f>IF(VLOOKUP($B$8,recettes!$A:$CB,W$11,0)=0,"-",VLOOKUP($B$8,recettes!$A:$CB,W$11,0))</f>
        <v>70344727.409011826</v>
      </c>
      <c r="X16" s="58">
        <f>IF(VLOOKUP($B$8,recettes!$A:$CB,X$11,0)=0,"-",VLOOKUP($B$8,recettes!$A:$CB,X$11,0))</f>
        <v>65793363.209892213</v>
      </c>
      <c r="Y16" s="58">
        <f>IF(VLOOKUP($B$8,recettes!$A:$CB,Y$11,0)=0,"-",VLOOKUP($B$8,recettes!$A:$CB,Y$11,0))</f>
        <v>67472589.209945515</v>
      </c>
      <c r="Z16" s="58">
        <f>IF(VLOOKUP($B$8,recettes!$A:$CB,Z$11,0)=0,"-",VLOOKUP($B$8,recettes!$A:$CB,Z$11,0))</f>
        <v>70265099.075494662</v>
      </c>
      <c r="AA16" s="58">
        <f>IF(VLOOKUP($B$8,recettes!$A:$CB,AA$11,0)=0,"-",VLOOKUP($B$8,recettes!$A:$CB,AA$11,0))</f>
        <v>69716322.24954474</v>
      </c>
      <c r="AB16" s="46"/>
      <c r="AC16" s="46"/>
      <c r="AD16" s="46"/>
      <c r="AE16" s="46"/>
      <c r="AF16" s="46"/>
      <c r="AG16" s="46"/>
      <c r="AH16" s="46"/>
      <c r="AI16" s="46"/>
      <c r="AJ16" s="46"/>
      <c r="AK16" s="46"/>
      <c r="AL16" s="46"/>
      <c r="AM16" s="46"/>
      <c r="AN16" s="46"/>
      <c r="AO16" s="46"/>
      <c r="AP16" s="46"/>
      <c r="AQ16" s="46"/>
      <c r="AR16" s="46"/>
      <c r="AS16" s="46"/>
      <c r="AT16" s="46"/>
      <c r="AU16" s="46"/>
      <c r="AV16" s="46"/>
      <c r="AW16" s="46"/>
      <c r="AX16" s="46"/>
    </row>
    <row r="17" spans="1:50" x14ac:dyDescent="0.2">
      <c r="A17" s="46" t="s">
        <v>61</v>
      </c>
      <c r="B17" s="59">
        <f>IF(VLOOKUP($B$8,RME!$A:$CB,B$11,0)=0,"-",VLOOKUP($B$8,RME!$A:$CB,B$11,0))</f>
        <v>0.52165027764667304</v>
      </c>
      <c r="C17" s="59">
        <f>IF(VLOOKUP($B$8,RME!$A:$CB,C$11,0)=0,"-",VLOOKUP($B$8,RME!$A:$CB,C$11,0))</f>
        <v>0.57204671982623279</v>
      </c>
      <c r="D17" s="59">
        <f>IF(VLOOKUP($B$8,RME!$A:$CB,D$11,0)=0,"-",VLOOKUP($B$8,RME!$A:$CB,D$11,0))</f>
        <v>0.58974551351422255</v>
      </c>
      <c r="E17" s="59">
        <f>IF(VLOOKUP($B$8,RME!$A:$CB,E$11,0)=0,"-",VLOOKUP($B$8,RME!$A:$CB,E$11,0))</f>
        <v>0.66541321081945382</v>
      </c>
      <c r="F17" s="59">
        <f>IF(VLOOKUP($B$8,RME!$A:$CB,F$11,0)=0,"-",VLOOKUP($B$8,RME!$A:$CB,F$11,0))</f>
        <v>0.72306226437436361</v>
      </c>
      <c r="G17" s="59">
        <f>IF(VLOOKUP($B$8,RME!$A:$CB,G$11,0)=0,"-",VLOOKUP($B$8,RME!$A:$CB,G$11,0))</f>
        <v>0.80638325822423274</v>
      </c>
      <c r="H17" s="59">
        <f>IF(VLOOKUP($B$8,RME!$A:$CB,H$11,0)=0,"-",VLOOKUP($B$8,RME!$A:$CB,H$11,0))</f>
        <v>0.89092971433695056</v>
      </c>
      <c r="I17" s="59">
        <f>IF(VLOOKUP($B$8,RME!$A:$CB,I$11,0)=0,"-",VLOOKUP($B$8,RME!$A:$CB,I$11,0))</f>
        <v>0.9977091701661337</v>
      </c>
      <c r="J17" s="59">
        <f>IF(VLOOKUP($B$8,RME!$A:$CB,J$11,0)=0,"-",VLOOKUP($B$8,RME!$A:$CB,J$11,0))</f>
        <v>1.125671643789997</v>
      </c>
      <c r="K17" s="59">
        <f>IF(VLOOKUP($B$8,RME!$A:$CB,K$11,0)=0,"-",VLOOKUP($B$8,RME!$A:$CB,K$11,0))</f>
        <v>1.2853580813511216</v>
      </c>
      <c r="L17" s="59">
        <f>IF(VLOOKUP($B$8,RME!$A:$CB,L$11,0)=0,"-",VLOOKUP($B$8,RME!$A:$CB,L$11,0))</f>
        <v>1.4740396270573226</v>
      </c>
      <c r="M17" s="59">
        <f>IF(VLOOKUP($B$8,RME!$A:$CB,M$11,0)=0,"-",VLOOKUP($B$8,RME!$A:$CB,M$11,0))</f>
        <v>1.6236613878540067</v>
      </c>
      <c r="N17" s="59">
        <f>IF(VLOOKUP($B$8,RME!$A:$CB,N$11,0)=0,"-",VLOOKUP($B$8,RME!$A:$CB,N$11,0))</f>
        <v>1.772542007279245</v>
      </c>
      <c r="O17" s="59">
        <f>IF(VLOOKUP($B$8,RME!$A:$CB,O$11,0)=0,"-",VLOOKUP($B$8,RME!$A:$CB,O$11,0))</f>
        <v>1.9504790571939816</v>
      </c>
      <c r="P17" s="59">
        <f>IF(VLOOKUP($B$8,RME!$A:$CB,P$11,0)=0,"-",VLOOKUP($B$8,RME!$A:$CB,P$11,0))</f>
        <v>2.4689053880391296</v>
      </c>
      <c r="Q17" s="59">
        <f>IF(VLOOKUP($B$8,RME!$A:$CB,Q$11,0)=0,"-",VLOOKUP($B$8,RME!$A:$CB,Q$11,0))</f>
        <v>2.7674788179099106</v>
      </c>
      <c r="R17" s="59">
        <f>IF(VLOOKUP($B$8,RME!$A:$CB,R$11,0)=0,"-",VLOOKUP($B$8,RME!$A:$CB,R$11,0))</f>
        <v>3.0796148428544465</v>
      </c>
      <c r="S17" s="59">
        <f>IF(VLOOKUP($B$8,RME!$A:$CB,S$11,0)=0,"-",VLOOKUP($B$8,RME!$A:$CB,S$11,0))</f>
        <v>3.2964336215769103</v>
      </c>
      <c r="T17" s="59">
        <f>IF(VLOOKUP($B$8,RME!$A:$CB,T$11,0)=0,"-",VLOOKUP($B$8,RME!$A:$CB,T$11,0))</f>
        <v>3.489749927039536</v>
      </c>
      <c r="U17" s="59">
        <f>IF(VLOOKUP($B$8,RME!$A:$CB,U$11,0)=0,"-",VLOOKUP($B$8,RME!$A:$CB,U$11,0))</f>
        <v>3.6984142567344067</v>
      </c>
      <c r="V17" s="59">
        <f>IF(VLOOKUP($B$8,RME!$A:$CB,V$11,0)=0,"-",VLOOKUP($B$8,RME!$A:$CB,V$11,0))</f>
        <v>3.9331670306313691</v>
      </c>
      <c r="W17" s="59">
        <f>IF(VLOOKUP($B$8,RME!$A:$CB,W$11,0)=0,"-",VLOOKUP($B$8,RME!$A:$CB,W$11,0))</f>
        <v>4.1321724153235504</v>
      </c>
      <c r="X17" s="59">
        <f>IF(VLOOKUP($B$8,RME!$A:$CB,X$11,0)=0,"-",VLOOKUP($B$8,RME!$A:$CB,X$11,0))</f>
        <v>4.3544309389198821</v>
      </c>
      <c r="Y17" s="59">
        <f>IF(VLOOKUP($B$8,RME!$A:$CB,Y$11,0)=0,"-",VLOOKUP($B$8,RME!$A:$CB,Y$11,0))</f>
        <v>4.5444669323255082</v>
      </c>
      <c r="Z17" s="59">
        <f>IF(VLOOKUP($B$8,RME!$A:$CB,Z$11,0)=0,"-",VLOOKUP($B$8,RME!$A:$CB,Z$11,0))</f>
        <v>4.7139690946602499</v>
      </c>
      <c r="AA17" s="59">
        <f>IF(VLOOKUP($B$8,RME!$A:$CB,AA$11,0)=0,"-",VLOOKUP($B$8,RME!$A:$CB,AA$11,0))</f>
        <v>4.957433978833885</v>
      </c>
      <c r="AB17" s="46"/>
      <c r="AC17" s="46"/>
      <c r="AD17" s="46"/>
      <c r="AE17" s="46"/>
      <c r="AF17" s="46"/>
      <c r="AG17" s="46"/>
      <c r="AH17" s="46"/>
      <c r="AI17" s="46"/>
      <c r="AJ17" s="46"/>
      <c r="AK17" s="46"/>
      <c r="AL17" s="46"/>
      <c r="AM17" s="46"/>
      <c r="AN17" s="46"/>
      <c r="AO17" s="46"/>
      <c r="AP17" s="46"/>
      <c r="AQ17" s="46"/>
      <c r="AR17" s="46"/>
      <c r="AS17" s="46"/>
      <c r="AT17" s="46"/>
      <c r="AU17" s="46"/>
      <c r="AV17" s="46"/>
      <c r="AW17" s="46"/>
      <c r="AX17" s="46"/>
    </row>
    <row r="18" spans="1:50" x14ac:dyDescent="0.2">
      <c r="A18" s="46" t="s">
        <v>62</v>
      </c>
      <c r="B18" s="59">
        <f>IF(VLOOKUP($B$8,'indice de fréquentation'!$A:$CB,B$11,0)=0,"-",VLOOKUP($B$8,'indice de fréquentation'!$A:$CB,B$11,0))</f>
        <v>3.8407838179785516</v>
      </c>
      <c r="C18" s="59">
        <f>IF(VLOOKUP($B$8,'indice de fréquentation'!$A:$CB,C$11,0)=0,"-",VLOOKUP($B$8,'indice de fréquentation'!$A:$CB,C$11,0))</f>
        <v>3.5173291910005928</v>
      </c>
      <c r="D18" s="59">
        <f>IF(VLOOKUP($B$8,'indice de fréquentation'!$A:$CB,D$11,0)=0,"-",VLOOKUP($B$8,'indice de fréquentation'!$A:$CB,D$11,0))</f>
        <v>3.3780723498939</v>
      </c>
      <c r="E18" s="59">
        <f>IF(VLOOKUP($B$8,'indice de fréquentation'!$A:$CB,E$11,0)=0,"-",VLOOKUP($B$8,'indice de fréquentation'!$A:$CB,E$11,0))</f>
        <v>3.1495492198244417</v>
      </c>
      <c r="F18" s="59">
        <f>IF(VLOOKUP($B$8,'indice de fréquentation'!$A:$CB,F$11,0)=0,"-",VLOOKUP($B$8,'indice de fréquentation'!$A:$CB,F$11,0))</f>
        <v>3.1842615895746151</v>
      </c>
      <c r="G18" s="59">
        <f>IF(VLOOKUP($B$8,'indice de fréquentation'!$A:$CB,G$11,0)=0,"-",VLOOKUP($B$8,'indice de fréquentation'!$A:$CB,G$11,0))</f>
        <v>3.0661653167976572</v>
      </c>
      <c r="H18" s="59">
        <f>IF(VLOOKUP($B$8,'indice de fréquentation'!$A:$CB,H$11,0)=0,"-",VLOOKUP($B$8,'indice de fréquentation'!$A:$CB,H$11,0))</f>
        <v>2.9776222627346054</v>
      </c>
      <c r="I18" s="59">
        <f>IF(VLOOKUP($B$8,'indice de fréquentation'!$A:$CB,I$11,0)=0,"-",VLOOKUP($B$8,'indice de fréquentation'!$A:$CB,I$11,0))</f>
        <v>2.9086232849622897</v>
      </c>
      <c r="J18" s="59">
        <f>IF(VLOOKUP($B$8,'indice de fréquentation'!$A:$CB,J$11,0)=0,"-",VLOOKUP($B$8,'indice de fréquentation'!$A:$CB,J$11,0))</f>
        <v>3.0040786017326</v>
      </c>
      <c r="K18" s="59">
        <f>IF(VLOOKUP($B$8,'indice de fréquentation'!$A:$CB,K$11,0)=0,"-",VLOOKUP($B$8,'indice de fréquentation'!$A:$CB,K$11,0))</f>
        <v>3.0093965747599927</v>
      </c>
      <c r="L18" s="59">
        <f>IF(VLOOKUP($B$8,'indice de fréquentation'!$A:$CB,L$11,0)=0,"-",VLOOKUP($B$8,'indice de fréquentation'!$A:$CB,L$11,0))</f>
        <v>3.0027538129812608</v>
      </c>
      <c r="M18" s="59">
        <f>IF(VLOOKUP($B$8,'indice de fréquentation'!$A:$CB,M$11,0)=0,"-",VLOOKUP($B$8,'indice de fréquentation'!$A:$CB,M$11,0))</f>
        <v>2.9058863263833743</v>
      </c>
      <c r="N18" s="59">
        <f>IF(VLOOKUP($B$8,'indice de fréquentation'!$A:$CB,N$11,0)=0,"-",VLOOKUP($B$8,'indice de fréquentation'!$A:$CB,N$11,0))</f>
        <v>3.0906563938811646</v>
      </c>
      <c r="O18" s="59">
        <f>IF(VLOOKUP($B$8,'indice de fréquentation'!$A:$CB,O$11,0)=0,"-",VLOOKUP($B$8,'indice de fréquentation'!$A:$CB,O$11,0))</f>
        <v>2.9712509401642087</v>
      </c>
      <c r="P18" s="59">
        <f>IF(VLOOKUP($B$8,'indice de fréquentation'!$A:$CB,P$11,0)=0,"-",VLOOKUP($B$8,'indice de fréquentation'!$A:$CB,P$11,0))</f>
        <v>2.8875310795644724</v>
      </c>
      <c r="Q18" s="59">
        <f>IF(VLOOKUP($B$8,'indice de fréquentation'!$A:$CB,Q$11,0)=0,"-",VLOOKUP($B$8,'indice de fréquentation'!$A:$CB,Q$11,0))</f>
        <v>3.3129411486739255</v>
      </c>
      <c r="R18" s="59">
        <f>IF(VLOOKUP($B$8,'indice de fréquentation'!$A:$CB,R$11,0)=0,"-",VLOOKUP($B$8,'indice de fréquentation'!$A:$CB,R$11,0))</f>
        <v>3.6621136072771665</v>
      </c>
      <c r="S18" s="59">
        <f>IF(VLOOKUP($B$8,'indice de fréquentation'!$A:$CB,S$11,0)=0,"-",VLOOKUP($B$8,'indice de fréquentation'!$A:$CB,S$11,0))</f>
        <v>3.6810963003800037</v>
      </c>
      <c r="T18" s="59">
        <f>IF(VLOOKUP($B$8,'indice de fréquentation'!$A:$CB,T$11,0)=0,"-",VLOOKUP($B$8,'indice de fréquentation'!$A:$CB,T$11,0))</f>
        <v>3.5439555809328791</v>
      </c>
      <c r="U18" s="59">
        <f>IF(VLOOKUP($B$8,'indice de fréquentation'!$A:$CB,U$11,0)=0,"-",VLOOKUP($B$8,'indice de fréquentation'!$A:$CB,U$11,0))</f>
        <v>3.2787965898127549</v>
      </c>
      <c r="V18" s="59">
        <f>IF(VLOOKUP($B$8,'indice de fréquentation'!$A:$CB,V$11,0)=0,"-",VLOOKUP($B$8,'indice de fréquentation'!$A:$CB,V$11,0))</f>
        <v>3.2030592451121307</v>
      </c>
      <c r="W18" s="59">
        <f>IF(VLOOKUP($B$8,'indice de fréquentation'!$A:$CB,W$11,0)=0,"-",VLOOKUP($B$8,'indice de fréquentation'!$A:$CB,W$11,0))</f>
        <v>2.551541357196339</v>
      </c>
      <c r="X18" s="59">
        <f>IF(VLOOKUP($B$8,'indice de fréquentation'!$A:$CB,X$11,0)=0,"-",VLOOKUP($B$8,'indice de fréquentation'!$A:$CB,X$11,0))</f>
        <v>2.2646452217657616</v>
      </c>
      <c r="Y18" s="59">
        <f>IF(VLOOKUP($B$8,'indice de fréquentation'!$A:$CB,Y$11,0)=0,"-",VLOOKUP($B$8,'indice de fréquentation'!$A:$CB,Y$11,0))</f>
        <v>2.2253274433118211</v>
      </c>
      <c r="Z18" s="59">
        <f>IF(VLOOKUP($B$8,'indice de fréquentation'!$A:$CB,Z$11,0)=0,"-",VLOOKUP($B$8,'indice de fréquentation'!$A:$CB,Z$11,0))</f>
        <v>2.234099067467358</v>
      </c>
      <c r="AA18" s="59">
        <f>IF(VLOOKUP($B$8,'indice de fréquentation'!$A:$CB,AA$11,0)=0,"-",VLOOKUP($B$8,'indice de fréquentation'!$A:$CB,AA$11,0))</f>
        <v>2.107788471188619</v>
      </c>
      <c r="AB18" s="46"/>
      <c r="AC18" s="46"/>
      <c r="AD18" s="46"/>
      <c r="AE18" s="46"/>
      <c r="AF18" s="46"/>
      <c r="AG18" s="46"/>
      <c r="AH18" s="46"/>
      <c r="AI18" s="46"/>
      <c r="AJ18" s="46"/>
      <c r="AK18" s="46"/>
      <c r="AL18" s="46"/>
      <c r="AM18" s="46"/>
      <c r="AN18" s="46"/>
      <c r="AO18" s="46"/>
      <c r="AP18" s="46"/>
      <c r="AQ18" s="46"/>
      <c r="AR18" s="46"/>
      <c r="AS18" s="46"/>
      <c r="AT18" s="46"/>
      <c r="AU18" s="46"/>
      <c r="AV18" s="46"/>
      <c r="AW18" s="46"/>
      <c r="AX18" s="46"/>
    </row>
    <row r="19" spans="1:50" x14ac:dyDescent="0.2">
      <c r="B19" s="67">
        <v>28</v>
      </c>
      <c r="C19" s="67">
        <v>29</v>
      </c>
      <c r="D19" s="67">
        <v>30</v>
      </c>
      <c r="E19" s="67">
        <v>31</v>
      </c>
      <c r="F19" s="67">
        <v>32</v>
      </c>
      <c r="G19" s="67">
        <v>33</v>
      </c>
      <c r="H19" s="67">
        <v>34</v>
      </c>
      <c r="I19" s="67">
        <v>35</v>
      </c>
      <c r="J19" s="67">
        <v>36</v>
      </c>
      <c r="K19" s="67">
        <v>37</v>
      </c>
      <c r="L19" s="67">
        <v>38</v>
      </c>
      <c r="M19" s="67">
        <v>39</v>
      </c>
      <c r="N19" s="67">
        <v>40</v>
      </c>
      <c r="O19" s="67">
        <v>41</v>
      </c>
      <c r="P19" s="67">
        <v>42</v>
      </c>
      <c r="Q19" s="67">
        <v>43</v>
      </c>
      <c r="R19" s="67">
        <v>44</v>
      </c>
      <c r="S19" s="67">
        <v>45</v>
      </c>
      <c r="T19" s="67">
        <v>46</v>
      </c>
      <c r="U19" s="67">
        <v>47</v>
      </c>
      <c r="V19" s="67">
        <v>48</v>
      </c>
      <c r="W19" s="67">
        <v>49</v>
      </c>
      <c r="X19" s="67">
        <v>50</v>
      </c>
      <c r="Y19" s="67">
        <v>51</v>
      </c>
      <c r="Z19" s="67">
        <v>52</v>
      </c>
      <c r="AA19" s="67">
        <v>53</v>
      </c>
      <c r="AB19" s="67">
        <v>54</v>
      </c>
      <c r="AC19" s="67">
        <v>55</v>
      </c>
      <c r="AD19" s="67">
        <v>56</v>
      </c>
      <c r="AE19" s="67">
        <v>57</v>
      </c>
      <c r="AF19" s="67">
        <v>58</v>
      </c>
      <c r="AG19" s="67">
        <v>59</v>
      </c>
    </row>
    <row r="20" spans="1:50" s="45" customFormat="1" x14ac:dyDescent="0.2">
      <c r="A20" s="48"/>
      <c r="B20" s="61">
        <v>1992</v>
      </c>
      <c r="C20" s="61">
        <v>1993</v>
      </c>
      <c r="D20" s="61">
        <v>1994</v>
      </c>
      <c r="E20" s="61">
        <v>1995</v>
      </c>
      <c r="F20" s="61">
        <v>1996</v>
      </c>
      <c r="G20" s="61">
        <v>1997</v>
      </c>
      <c r="H20" s="61">
        <v>1998</v>
      </c>
      <c r="I20" s="61">
        <v>1999</v>
      </c>
      <c r="J20" s="61">
        <v>2000</v>
      </c>
      <c r="K20" s="61">
        <v>2001</v>
      </c>
      <c r="L20" s="61">
        <v>2002</v>
      </c>
      <c r="M20" s="61">
        <v>2003</v>
      </c>
      <c r="N20" s="61">
        <v>2004</v>
      </c>
      <c r="O20" s="61">
        <v>2005</v>
      </c>
      <c r="P20" s="61">
        <v>2006</v>
      </c>
      <c r="Q20" s="61">
        <v>2007</v>
      </c>
      <c r="R20" s="61">
        <v>2008</v>
      </c>
      <c r="S20" s="61">
        <v>2009</v>
      </c>
      <c r="T20" s="61">
        <v>2010</v>
      </c>
      <c r="U20" s="61">
        <v>2011</v>
      </c>
      <c r="V20" s="61">
        <v>2012</v>
      </c>
      <c r="W20" s="61">
        <v>2013</v>
      </c>
      <c r="X20" s="61">
        <v>2014</v>
      </c>
      <c r="Y20" s="61">
        <v>2015</v>
      </c>
      <c r="Z20" s="61">
        <v>2016</v>
      </c>
      <c r="AA20" s="61">
        <v>2017</v>
      </c>
      <c r="AB20" s="61">
        <v>2018</v>
      </c>
      <c r="AC20" s="61">
        <v>2019</v>
      </c>
      <c r="AD20" s="61">
        <v>2020</v>
      </c>
      <c r="AE20" s="61">
        <v>2021</v>
      </c>
      <c r="AF20" s="61">
        <v>2022</v>
      </c>
      <c r="AG20" s="61">
        <v>2023</v>
      </c>
    </row>
    <row r="21" spans="1:50" x14ac:dyDescent="0.2">
      <c r="A21" s="46" t="s">
        <v>63</v>
      </c>
      <c r="B21" s="4">
        <f>IF(VLOOKUP($B$8,établissements!$A:$CA,B$19,0)=0,"-",VLOOKUP($B$8,établissements!$A:$CA,B$19,0))</f>
        <v>343</v>
      </c>
      <c r="C21" s="4">
        <f>IF(VLOOKUP($B$8,établissements!$A:$CA,C$19,0)=0,"-",VLOOKUP($B$8,établissements!$A:$CA,C$19,0))</f>
        <v>336</v>
      </c>
      <c r="D21" s="4">
        <f>IF(VLOOKUP($B$8,établissements!$A:$CA,D$19,0)=0,"-",VLOOKUP($B$8,établissements!$A:$CA,D$19,0))</f>
        <v>335</v>
      </c>
      <c r="E21" s="4">
        <f>IF(VLOOKUP($B$8,établissements!$A:$CA,E$19,0)=0,"-",VLOOKUP($B$8,établissements!$A:$CA,E$19,0))</f>
        <v>342</v>
      </c>
      <c r="F21" s="4">
        <f>IF(VLOOKUP($B$8,établissements!$A:$CA,F$19,0)=0,"-",VLOOKUP($B$8,établissements!$A:$CA,F$19,0))</f>
        <v>343</v>
      </c>
      <c r="G21" s="4">
        <f>IF(VLOOKUP($B$8,établissements!$A:$CA,G$19,0)=0,"-",VLOOKUP($B$8,établissements!$A:$CA,G$19,0))</f>
        <v>347</v>
      </c>
      <c r="H21" s="4">
        <f>IF(VLOOKUP($B$8,établissements!$A:$CA,H$19,0)=0,"-",VLOOKUP($B$8,établissements!$A:$CA,H$19,0))</f>
        <v>349</v>
      </c>
      <c r="I21" s="4">
        <f>IF(VLOOKUP($B$8,établissements!$A:$CA,I$19,0)=0,"-",VLOOKUP($B$8,établissements!$A:$CA,I$19,0))</f>
        <v>359</v>
      </c>
      <c r="J21" s="4">
        <f>IF(VLOOKUP($B$8,établissements!$A:$CA,J$19,0)=0,"-",VLOOKUP($B$8,établissements!$A:$CA,J$19,0))</f>
        <v>353</v>
      </c>
      <c r="K21" s="4">
        <f>IF(VLOOKUP($B$8,établissements!$A:$CA,K$19,0)=0,"-",VLOOKUP($B$8,établissements!$A:$CA,K$19,0))</f>
        <v>352</v>
      </c>
      <c r="L21" s="4">
        <f>IF(VLOOKUP($B$8,établissements!$A:$CA,L$19,0)=0,"-",VLOOKUP($B$8,établissements!$A:$CA,L$19,0))</f>
        <v>350</v>
      </c>
      <c r="M21" s="4">
        <f>IF(VLOOKUP($B$8,établissements!$A:$CA,M$19,0)=0,"-",VLOOKUP($B$8,établissements!$A:$CA,M$19,0))</f>
        <v>349</v>
      </c>
      <c r="N21" s="4">
        <f>IF(VLOOKUP($B$8,établissements!$A:$CA,N$19,0)=0,"-",VLOOKUP($B$8,établissements!$A:$CA,N$19,0))</f>
        <v>346</v>
      </c>
      <c r="O21" s="4">
        <f>IF(VLOOKUP($B$8,établissements!$A:$CA,O$19,0)=0,"-",VLOOKUP($B$8,établissements!$A:$CA,O$19,0))</f>
        <v>339</v>
      </c>
      <c r="P21" s="4">
        <f>IF(VLOOKUP($B$8,établissements!$A:$CA,P$19,0)=0,"-",VLOOKUP($B$8,établissements!$A:$CA,P$19,0))</f>
        <v>343</v>
      </c>
      <c r="Q21" s="4">
        <f>IF(VLOOKUP($B$8,établissements!$A:$CA,Q$19,0)=0,"-",VLOOKUP($B$8,établissements!$A:$CA,Q$19,0))</f>
        <v>345</v>
      </c>
      <c r="R21" s="4">
        <f>IF(VLOOKUP($B$8,établissements!$A:$CA,R$19,0)=0,"-",VLOOKUP($B$8,établissements!$A:$CA,R$19,0))</f>
        <v>350</v>
      </c>
      <c r="S21" s="4">
        <f>IF(VLOOKUP($B$8,établissements!$A:$CA,S$19,0)=0,"-",VLOOKUP($B$8,établissements!$A:$CA,S$19,0))</f>
        <v>349</v>
      </c>
      <c r="T21" s="4">
        <f>IF(VLOOKUP($B$8,établissements!$A:$CA,T$19,0)=0,"-",VLOOKUP($B$8,établissements!$A:$CA,T$19,0))</f>
        <v>344</v>
      </c>
      <c r="U21" s="4">
        <f>IF(VLOOKUP($B$8,établissements!$A:$CA,U$19,0)=0,"-",VLOOKUP($B$8,établissements!$A:$CA,U$19,0))</f>
        <v>339</v>
      </c>
      <c r="V21" s="4">
        <f>IF(VLOOKUP($B$8,établissements!$A:$CA,V$19,0)=0,"-",VLOOKUP($B$8,établissements!$A:$CA,V$19,0))</f>
        <v>334</v>
      </c>
      <c r="W21" s="4">
        <f>IF(VLOOKUP($B$8,établissements!$A:$CA,W$19,0)=0,"-",VLOOKUP($B$8,établissements!$A:$CA,W$19,0))</f>
        <v>321</v>
      </c>
      <c r="X21" s="4">
        <f>IF(VLOOKUP($B$8,établissements!$A:$CA,X$19,0)=0,"-",VLOOKUP($B$8,établissements!$A:$CA,X$19,0))</f>
        <v>316</v>
      </c>
      <c r="Y21" s="4">
        <f>IF(VLOOKUP($B$8,établissements!$A:$CA,Y$19,0)=0,"-",VLOOKUP($B$8,établissements!$A:$CA,Y$19,0))</f>
        <v>324</v>
      </c>
      <c r="Z21" s="4">
        <f>IF(VLOOKUP($B$8,établissements!$A:$CA,Z$19,0)=0,"-",VLOOKUP($B$8,établissements!$A:$CA,Z$19,0))</f>
        <v>324</v>
      </c>
      <c r="AA21" s="4">
        <f>IF(VLOOKUP($B$8,établissements!$A:$CA,AA$19,0)=0,"-",VLOOKUP($B$8,établissements!$A:$CA,AA$19,0))</f>
        <v>325</v>
      </c>
      <c r="AB21" s="4">
        <f>IF(VLOOKUP($B$8,établissements!$A:$CA,AB$19,0)=0,"-",VLOOKUP($B$8,établissements!$A:$CA,AB$19,0))</f>
        <v>324</v>
      </c>
      <c r="AC21" s="4">
        <f>IF(VLOOKUP($B$8,établissements!$A:$CA,AC$19,0)=0,"-",VLOOKUP($B$8,établissements!$A:$CA,AC$19,0))</f>
        <v>323</v>
      </c>
      <c r="AD21" s="4">
        <f>IF(VLOOKUP($B$8,établissements!$A:$CA,AD$19,0)=0,"-",VLOOKUP($B$8,établissements!$A:$CA,AD$19,0))</f>
        <v>322</v>
      </c>
      <c r="AE21" s="4">
        <f>IF(VLOOKUP($B$8,établissements!$A:$CA,AE$19,0)=0,"-",VLOOKUP($B$8,établissements!$A:$CA,AE$19,0))</f>
        <v>320</v>
      </c>
      <c r="AF21" s="4">
        <f>IF(VLOOKUP($B$8,établissements!$A:$CA,AF$19,0)=0,"-",VLOOKUP($B$8,établissements!$A:$CA,AF$19,0))</f>
        <v>323</v>
      </c>
      <c r="AG21" s="4">
        <f>IF(VLOOKUP($B$8,établissements!$A:$CA,AG$19,0)=0,"-",VLOOKUP($B$8,établissements!$A:$CA,AG$19,0))</f>
        <v>322</v>
      </c>
      <c r="AH21" s="46"/>
      <c r="AI21" s="46"/>
      <c r="AJ21" s="46"/>
      <c r="AK21" s="46"/>
      <c r="AL21" s="46"/>
      <c r="AM21" s="46"/>
      <c r="AN21" s="46"/>
      <c r="AO21" s="46"/>
      <c r="AP21" s="46"/>
      <c r="AQ21" s="46"/>
      <c r="AR21" s="46"/>
      <c r="AS21" s="46"/>
      <c r="AT21" s="46"/>
      <c r="AU21" s="46"/>
      <c r="AV21" s="46"/>
      <c r="AW21" s="46"/>
      <c r="AX21" s="46"/>
    </row>
    <row r="22" spans="1:50" x14ac:dyDescent="0.2">
      <c r="A22" s="46" t="s">
        <v>57</v>
      </c>
      <c r="B22" s="4">
        <f>IF(VLOOKUP($B$8,écrans!$A:$CA,B$19,0)=0,"-",VLOOKUP($B$8,écrans!$A:$CA,B$19,0))</f>
        <v>630</v>
      </c>
      <c r="C22" s="4">
        <f>IF(VLOOKUP($B$8,écrans!$A:$CA,C$19,0)=0,"-",VLOOKUP($B$8,écrans!$A:$CA,C$19,0))</f>
        <v>624</v>
      </c>
      <c r="D22" s="4">
        <f>IF(VLOOKUP($B$8,écrans!$A:$CA,D$19,0)=0,"-",VLOOKUP($B$8,écrans!$A:$CA,D$19,0))</f>
        <v>630</v>
      </c>
      <c r="E22" s="4">
        <f>IF(VLOOKUP($B$8,écrans!$A:$CA,E$19,0)=0,"-",VLOOKUP($B$8,écrans!$A:$CA,E$19,0))</f>
        <v>637</v>
      </c>
      <c r="F22" s="4">
        <f>IF(VLOOKUP($B$8,écrans!$A:$CA,F$19,0)=0,"-",VLOOKUP($B$8,écrans!$A:$CA,F$19,0))</f>
        <v>640</v>
      </c>
      <c r="G22" s="4">
        <f>IF(VLOOKUP($B$8,écrans!$A:$CA,G$19,0)=0,"-",VLOOKUP($B$8,écrans!$A:$CA,G$19,0))</f>
        <v>677</v>
      </c>
      <c r="H22" s="4">
        <f>IF(VLOOKUP($B$8,écrans!$A:$CA,H$19,0)=0,"-",VLOOKUP($B$8,écrans!$A:$CA,H$19,0))</f>
        <v>680</v>
      </c>
      <c r="I22" s="4">
        <f>IF(VLOOKUP($B$8,écrans!$A:$CA,I$19,0)=0,"-",VLOOKUP($B$8,écrans!$A:$CA,I$19,0))</f>
        <v>692</v>
      </c>
      <c r="J22" s="4">
        <f>IF(VLOOKUP($B$8,écrans!$A:$CA,J$19,0)=0,"-",VLOOKUP($B$8,écrans!$A:$CA,J$19,0))</f>
        <v>733</v>
      </c>
      <c r="K22" s="4">
        <f>IF(VLOOKUP($B$8,écrans!$A:$CA,K$19,0)=0,"-",VLOOKUP($B$8,écrans!$A:$CA,K$19,0))</f>
        <v>750</v>
      </c>
      <c r="L22" s="4">
        <f>IF(VLOOKUP($B$8,écrans!$A:$CA,L$19,0)=0,"-",VLOOKUP($B$8,écrans!$A:$CA,L$19,0))</f>
        <v>758</v>
      </c>
      <c r="M22" s="4">
        <f>IF(VLOOKUP($B$8,écrans!$A:$CA,M$19,0)=0,"-",VLOOKUP($B$8,écrans!$A:$CA,M$19,0))</f>
        <v>758</v>
      </c>
      <c r="N22" s="4">
        <f>IF(VLOOKUP($B$8,écrans!$A:$CA,N$19,0)=0,"-",VLOOKUP($B$8,écrans!$A:$CA,N$19,0))</f>
        <v>742</v>
      </c>
      <c r="O22" s="4">
        <f>IF(VLOOKUP($B$8,écrans!$A:$CA,O$19,0)=0,"-",VLOOKUP($B$8,écrans!$A:$CA,O$19,0))</f>
        <v>728</v>
      </c>
      <c r="P22" s="4">
        <f>IF(VLOOKUP($B$8,écrans!$A:$CA,P$19,0)=0,"-",VLOOKUP($B$8,écrans!$A:$CA,P$19,0))</f>
        <v>746</v>
      </c>
      <c r="Q22" s="4">
        <f>IF(VLOOKUP($B$8,écrans!$A:$CA,Q$19,0)=0,"-",VLOOKUP($B$8,écrans!$A:$CA,Q$19,0))</f>
        <v>752</v>
      </c>
      <c r="R22" s="4">
        <f>IF(VLOOKUP($B$8,écrans!$A:$CA,R$19,0)=0,"-",VLOOKUP($B$8,écrans!$A:$CA,R$19,0))</f>
        <v>773</v>
      </c>
      <c r="S22" s="4">
        <f>IF(VLOOKUP($B$8,écrans!$A:$CA,S$19,0)=0,"-",VLOOKUP($B$8,écrans!$A:$CA,S$19,0))</f>
        <v>782</v>
      </c>
      <c r="T22" s="4">
        <f>IF(VLOOKUP($B$8,écrans!$A:$CA,T$19,0)=0,"-",VLOOKUP($B$8,écrans!$A:$CA,T$19,0))</f>
        <v>773</v>
      </c>
      <c r="U22" s="4">
        <f>IF(VLOOKUP($B$8,écrans!$A:$CA,U$19,0)=0,"-",VLOOKUP($B$8,écrans!$A:$CA,U$19,0))</f>
        <v>780</v>
      </c>
      <c r="V22" s="4">
        <f>IF(VLOOKUP($B$8,écrans!$A:$CA,V$19,0)=0,"-",VLOOKUP($B$8,écrans!$A:$CA,V$19,0))</f>
        <v>797</v>
      </c>
      <c r="W22" s="4">
        <f>IF(VLOOKUP($B$8,écrans!$A:$CA,W$19,0)=0,"-",VLOOKUP($B$8,écrans!$A:$CA,W$19,0))</f>
        <v>784</v>
      </c>
      <c r="X22" s="4">
        <f>IF(VLOOKUP($B$8,écrans!$A:$CA,X$19,0)=0,"-",VLOOKUP($B$8,écrans!$A:$CA,X$19,0))</f>
        <v>777</v>
      </c>
      <c r="Y22" s="4">
        <f>IF(VLOOKUP($B$8,écrans!$A:$CA,Y$19,0)=0,"-",VLOOKUP($B$8,écrans!$A:$CA,Y$19,0))</f>
        <v>796</v>
      </c>
      <c r="Z22" s="4">
        <f>IF(VLOOKUP($B$8,écrans!$A:$CA,Z$19,0)=0,"-",VLOOKUP($B$8,écrans!$A:$CA,Z$19,0))</f>
        <v>802</v>
      </c>
      <c r="AA22" s="4">
        <f>IF(VLOOKUP($B$8,écrans!$A:$CA,AA$19,0)=0,"-",VLOOKUP($B$8,écrans!$A:$CA,AA$19,0))</f>
        <v>827</v>
      </c>
      <c r="AB22" s="4">
        <f>IF(VLOOKUP($B$8,écrans!$A:$CA,AB$19,0)=0,"-",VLOOKUP($B$8,écrans!$A:$CA,AB$19,0))</f>
        <v>833</v>
      </c>
      <c r="AC22" s="4">
        <f>IF(VLOOKUP($B$8,écrans!$A:$CA,AC$19,0)=0,"-",VLOOKUP($B$8,écrans!$A:$CA,AC$19,0))</f>
        <v>830</v>
      </c>
      <c r="AD22" s="4">
        <f>IF(VLOOKUP($B$8,écrans!$A:$CA,AD$19,0)=0,"-",VLOOKUP($B$8,écrans!$A:$CA,AD$19,0))</f>
        <v>831</v>
      </c>
      <c r="AE22" s="4">
        <f>IF(VLOOKUP($B$8,écrans!$A:$CA,AE$19,0)=0,"-",VLOOKUP($B$8,écrans!$A:$CA,AE$19,0))</f>
        <v>840</v>
      </c>
      <c r="AF22" s="4">
        <f>IF(VLOOKUP($B$8,écrans!$A:$CA,AF$19,0)=0,"-",VLOOKUP($B$8,écrans!$A:$CA,AF$19,0))</f>
        <v>852</v>
      </c>
      <c r="AG22" s="4">
        <f>IF(VLOOKUP($B$8,écrans!$A:$CA,AG$19,0)=0,"-",VLOOKUP($B$8,écrans!$A:$CA,AG$19,0))</f>
        <v>864</v>
      </c>
      <c r="AH22" s="46"/>
      <c r="AI22" s="46"/>
      <c r="AJ22" s="46"/>
      <c r="AK22" s="46"/>
      <c r="AL22" s="46"/>
      <c r="AM22" s="46"/>
      <c r="AN22" s="46"/>
      <c r="AO22" s="46"/>
      <c r="AP22" s="46"/>
      <c r="AQ22" s="46"/>
      <c r="AR22" s="46"/>
      <c r="AS22" s="46"/>
      <c r="AT22" s="46"/>
      <c r="AU22" s="46"/>
      <c r="AV22" s="46"/>
      <c r="AW22" s="46"/>
      <c r="AX22" s="46"/>
    </row>
    <row r="23" spans="1:50" x14ac:dyDescent="0.2">
      <c r="A23" s="46" t="s">
        <v>58</v>
      </c>
      <c r="B23" s="57">
        <f>IF(VLOOKUP($B$8,fauteuils!$A:$CA,B$19,0)=0,"-",VLOOKUP($B$8,fauteuils!$A:$CA,B$19,0))</f>
        <v>122219</v>
      </c>
      <c r="C23" s="57">
        <f>IF(VLOOKUP($B$8,fauteuils!$A:$CA,C$19,0)=0,"-",VLOOKUP($B$8,fauteuils!$A:$CA,C$19,0))</f>
        <v>120906</v>
      </c>
      <c r="D23" s="57">
        <f>IF(VLOOKUP($B$8,fauteuils!$A:$CA,D$19,0)=0,"-",VLOOKUP($B$8,fauteuils!$A:$CA,D$19,0))</f>
        <v>119541</v>
      </c>
      <c r="E23" s="57">
        <f>IF(VLOOKUP($B$8,fauteuils!$A:$CA,E$19,0)=0,"-",VLOOKUP($B$8,fauteuils!$A:$CA,E$19,0))</f>
        <v>121694</v>
      </c>
      <c r="F23" s="57">
        <f>IF(VLOOKUP($B$8,fauteuils!$A:$CA,F$19,0)=0,"-",VLOOKUP($B$8,fauteuils!$A:$CA,F$19,0))</f>
        <v>115060</v>
      </c>
      <c r="G23" s="57">
        <f>IF(VLOOKUP($B$8,fauteuils!$A:$CA,G$19,0)=0,"-",VLOOKUP($B$8,fauteuils!$A:$CA,G$19,0))</f>
        <v>123633</v>
      </c>
      <c r="H23" s="57">
        <f>IF(VLOOKUP($B$8,fauteuils!$A:$CA,H$19,0)=0,"-",VLOOKUP($B$8,fauteuils!$A:$CA,H$19,0))</f>
        <v>121874</v>
      </c>
      <c r="I23" s="57">
        <f>IF(VLOOKUP($B$8,fauteuils!$A:$CA,I$19,0)=0,"-",VLOOKUP($B$8,fauteuils!$A:$CA,I$19,0))</f>
        <v>123578</v>
      </c>
      <c r="J23" s="57">
        <f>IF(VLOOKUP($B$8,fauteuils!$A:$CA,J$19,0)=0,"-",VLOOKUP($B$8,fauteuils!$A:$CA,J$19,0))</f>
        <v>133234</v>
      </c>
      <c r="K23" s="57">
        <f>IF(VLOOKUP($B$8,fauteuils!$A:$CA,K$19,0)=0,"-",VLOOKUP($B$8,fauteuils!$A:$CA,K$19,0))</f>
        <v>136517</v>
      </c>
      <c r="L23" s="57">
        <f>IF(VLOOKUP($B$8,fauteuils!$A:$CA,L$19,0)=0,"-",VLOOKUP($B$8,fauteuils!$A:$CA,L$19,0))</f>
        <v>137481</v>
      </c>
      <c r="M23" s="57">
        <f>IF(VLOOKUP($B$8,fauteuils!$A:$CA,M$19,0)=0,"-",VLOOKUP($B$8,fauteuils!$A:$CA,M$19,0))</f>
        <v>136981</v>
      </c>
      <c r="N23" s="57">
        <f>IF(VLOOKUP($B$8,fauteuils!$A:$CA,N$19,0)=0,"-",VLOOKUP($B$8,fauteuils!$A:$CA,N$19,0))</f>
        <v>131679</v>
      </c>
      <c r="O23" s="57">
        <f>IF(VLOOKUP($B$8,fauteuils!$A:$CA,O$19,0)=0,"-",VLOOKUP($B$8,fauteuils!$A:$CA,O$19,0))</f>
        <v>126989</v>
      </c>
      <c r="P23" s="57">
        <f>IF(VLOOKUP($B$8,fauteuils!$A:$CA,P$19,0)=0,"-",VLOOKUP($B$8,fauteuils!$A:$CA,P$19,0))</f>
        <v>131042</v>
      </c>
      <c r="Q23" s="57">
        <f>IF(VLOOKUP($B$8,fauteuils!$A:$CA,Q$19,0)=0,"-",VLOOKUP($B$8,fauteuils!$A:$CA,Q$19,0))</f>
        <v>132149</v>
      </c>
      <c r="R23" s="57">
        <f>IF(VLOOKUP($B$8,fauteuils!$A:$CA,R$19,0)=0,"-",VLOOKUP($B$8,fauteuils!$A:$CA,R$19,0))</f>
        <v>135117</v>
      </c>
      <c r="S23" s="57">
        <f>IF(VLOOKUP($B$8,fauteuils!$A:$CA,S$19,0)=0,"-",VLOOKUP($B$8,fauteuils!$A:$CA,S$19,0))</f>
        <v>138124</v>
      </c>
      <c r="T23" s="57">
        <f>IF(VLOOKUP($B$8,fauteuils!$A:$CA,T$19,0)=0,"-",VLOOKUP($B$8,fauteuils!$A:$CA,T$19,0))</f>
        <v>136512</v>
      </c>
      <c r="U23" s="57">
        <f>IF(VLOOKUP($B$8,fauteuils!$A:$CA,U$19,0)=0,"-",VLOOKUP($B$8,fauteuils!$A:$CA,U$19,0))</f>
        <v>137796</v>
      </c>
      <c r="V23" s="57">
        <f>IF(VLOOKUP($B$8,fauteuils!$A:$CA,V$19,0)=0,"-",VLOOKUP($B$8,fauteuils!$A:$CA,V$19,0))</f>
        <v>140756</v>
      </c>
      <c r="W23" s="57">
        <f>IF(VLOOKUP($B$8,fauteuils!$A:$CA,W$19,0)=0,"-",VLOOKUP($B$8,fauteuils!$A:$CA,W$19,0))</f>
        <v>139280</v>
      </c>
      <c r="X23" s="57">
        <f>IF(VLOOKUP($B$8,fauteuils!$A:$CA,X$19,0)=0,"-",VLOOKUP($B$8,fauteuils!$A:$CA,X$19,0))</f>
        <v>138815</v>
      </c>
      <c r="Y23" s="57">
        <f>IF(VLOOKUP($B$8,fauteuils!$A:$CA,Y$19,0)=0,"-",VLOOKUP($B$8,fauteuils!$A:$CA,Y$19,0))</f>
        <v>140718</v>
      </c>
      <c r="Z23" s="57">
        <f>IF(VLOOKUP($B$8,fauteuils!$A:$CA,Z$19,0)=0,"-",VLOOKUP($B$8,fauteuils!$A:$CA,Z$19,0))</f>
        <v>141183</v>
      </c>
      <c r="AA23" s="57">
        <f>IF(VLOOKUP($B$8,fauteuils!$A:$CA,AA$19,0)=0,"-",VLOOKUP($B$8,fauteuils!$A:$CA,AA$19,0))</f>
        <v>145660</v>
      </c>
      <c r="AB23" s="57">
        <f>IF(VLOOKUP($B$8,fauteuils!$A:$CA,AB$19,0)=0,"-",VLOOKUP($B$8,fauteuils!$A:$CA,AB$19,0))</f>
        <v>145523</v>
      </c>
      <c r="AC23" s="57">
        <f>IF(VLOOKUP($B$8,fauteuils!$A:$CA,AC$19,0)=0,"-",VLOOKUP($B$8,fauteuils!$A:$CA,AC$19,0))</f>
        <v>144645</v>
      </c>
      <c r="AD23" s="57">
        <f>IF(VLOOKUP($B$8,fauteuils!$A:$CA,AD$19,0)=0,"-",VLOOKUP($B$8,fauteuils!$A:$CA,AD$19,0))</f>
        <v>144025</v>
      </c>
      <c r="AE23" s="57">
        <f>IF(VLOOKUP($B$8,fauteuils!$A:$CA,AE$19,0)=0,"-",VLOOKUP($B$8,fauteuils!$A:$CA,AE$19,0))</f>
        <v>144296</v>
      </c>
      <c r="AF23" s="57">
        <f>IF(VLOOKUP($B$8,fauteuils!$A:$CA,AF$19,0)=0,"-",VLOOKUP($B$8,fauteuils!$A:$CA,AF$19,0))</f>
        <v>146365</v>
      </c>
      <c r="AG23" s="57">
        <f>IF(VLOOKUP($B$8,fauteuils!$A:$CA,AG$19,0)=0,"-",VLOOKUP($B$8,fauteuils!$A:$CA,AG$19,0))</f>
        <v>147116</v>
      </c>
      <c r="AH23" s="46"/>
      <c r="AI23" s="46"/>
      <c r="AJ23" s="46"/>
      <c r="AK23" s="46"/>
      <c r="AL23" s="46"/>
      <c r="AM23" s="46"/>
      <c r="AN23" s="46"/>
      <c r="AO23" s="46"/>
      <c r="AP23" s="46"/>
      <c r="AQ23" s="46"/>
      <c r="AR23" s="46"/>
      <c r="AS23" s="46"/>
      <c r="AT23" s="46"/>
      <c r="AU23" s="46"/>
      <c r="AV23" s="46"/>
      <c r="AW23" s="46"/>
      <c r="AX23" s="46"/>
    </row>
    <row r="24" spans="1:50" x14ac:dyDescent="0.2">
      <c r="A24" s="46" t="s">
        <v>64</v>
      </c>
      <c r="B24" s="4">
        <f>IF(VLOOKUP($B$8,multiplexes!$A:$CA,B$19,0)=0,"-",VLOOKUP($B$8,multiplexes!$A:$CA,B$19,0))</f>
        <v>4</v>
      </c>
      <c r="C24" s="4">
        <f>IF(VLOOKUP($B$8,multiplexes!$A:$CA,C$19,0)=0,"-",VLOOKUP($B$8,multiplexes!$A:$CA,C$19,0))</f>
        <v>4</v>
      </c>
      <c r="D24" s="4">
        <f>IF(VLOOKUP($B$8,multiplexes!$A:$CA,D$19,0)=0,"-",VLOOKUP($B$8,multiplexes!$A:$CA,D$19,0))</f>
        <v>4</v>
      </c>
      <c r="E24" s="4">
        <f>IF(VLOOKUP($B$8,multiplexes!$A:$CA,E$19,0)=0,"-",VLOOKUP($B$8,multiplexes!$A:$CA,E$19,0))</f>
        <v>4</v>
      </c>
      <c r="F24" s="4">
        <f>IF(VLOOKUP($B$8,multiplexes!$A:$CA,F$19,0)=0,"-",VLOOKUP($B$8,multiplexes!$A:$CA,F$19,0))</f>
        <v>4</v>
      </c>
      <c r="G24" s="4">
        <f>IF(VLOOKUP($B$8,multiplexes!$A:$CA,G$19,0)=0,"-",VLOOKUP($B$8,multiplexes!$A:$CA,G$19,0))</f>
        <v>7</v>
      </c>
      <c r="H24" s="4">
        <f>IF(VLOOKUP($B$8,multiplexes!$A:$CA,H$19,0)=0,"-",VLOOKUP($B$8,multiplexes!$A:$CA,H$19,0))</f>
        <v>7</v>
      </c>
      <c r="I24" s="4">
        <f>IF(VLOOKUP($B$8,multiplexes!$A:$CA,I$19,0)=0,"-",VLOOKUP($B$8,multiplexes!$A:$CA,I$19,0))</f>
        <v>7</v>
      </c>
      <c r="J24" s="4">
        <f>IF(VLOOKUP($B$8,multiplexes!$A:$CA,J$19,0)=0,"-",VLOOKUP($B$8,multiplexes!$A:$CA,J$19,0))</f>
        <v>11</v>
      </c>
      <c r="K24" s="4">
        <f>IF(VLOOKUP($B$8,multiplexes!$A:$CA,K$19,0)=0,"-",VLOOKUP($B$8,multiplexes!$A:$CA,K$19,0))</f>
        <v>13</v>
      </c>
      <c r="L24" s="4">
        <f>IF(VLOOKUP($B$8,multiplexes!$A:$CA,L$19,0)=0,"-",VLOOKUP($B$8,multiplexes!$A:$CA,L$19,0))</f>
        <v>15</v>
      </c>
      <c r="M24" s="4">
        <f>IF(VLOOKUP($B$8,multiplexes!$A:$CA,M$19,0)=0,"-",VLOOKUP($B$8,multiplexes!$A:$CA,M$19,0))</f>
        <v>15</v>
      </c>
      <c r="N24" s="4">
        <f>IF(VLOOKUP($B$8,multiplexes!$A:$CA,N$19,0)=0,"-",VLOOKUP($B$8,multiplexes!$A:$CA,N$19,0))</f>
        <v>15</v>
      </c>
      <c r="O24" s="4">
        <f>IF(VLOOKUP($B$8,multiplexes!$A:$CA,O$19,0)=0,"-",VLOOKUP($B$8,multiplexes!$A:$CA,O$19,0))</f>
        <v>15</v>
      </c>
      <c r="P24" s="4">
        <f>IF(VLOOKUP($B$8,multiplexes!$A:$CA,P$19,0)=0,"-",VLOOKUP($B$8,multiplexes!$A:$CA,P$19,0))</f>
        <v>16</v>
      </c>
      <c r="Q24" s="4">
        <f>IF(VLOOKUP($B$8,multiplexes!$A:$CA,Q$19,0)=0,"-",VLOOKUP($B$8,multiplexes!$A:$CA,Q$19,0))</f>
        <v>17</v>
      </c>
      <c r="R24" s="4">
        <f>IF(VLOOKUP($B$8,multiplexes!$A:$CA,R$19,0)=0,"-",VLOOKUP($B$8,multiplexes!$A:$CA,R$19,0))</f>
        <v>19</v>
      </c>
      <c r="S24" s="4">
        <f>IF(VLOOKUP($B$8,multiplexes!$A:$CA,S$19,0)=0,"-",VLOOKUP($B$8,multiplexes!$A:$CA,S$19,0))</f>
        <v>19</v>
      </c>
      <c r="T24" s="4">
        <f>IF(VLOOKUP($B$8,multiplexes!$A:$CA,T$19,0)=0,"-",VLOOKUP($B$8,multiplexes!$A:$CA,T$19,0))</f>
        <v>19</v>
      </c>
      <c r="U24" s="4">
        <f>IF(VLOOKUP($B$8,multiplexes!$A:$CA,U$19,0)=0,"-",VLOOKUP($B$8,multiplexes!$A:$CA,U$19,0))</f>
        <v>21</v>
      </c>
      <c r="V24" s="4">
        <f>IF(VLOOKUP($B$8,multiplexes!$A:$CA,V$19,0)=0,"-",VLOOKUP($B$8,multiplexes!$A:$CA,V$19,0))</f>
        <v>23</v>
      </c>
      <c r="W24" s="4">
        <f>IF(VLOOKUP($B$8,multiplexes!$A:$CA,W$19,0)=0,"-",VLOOKUP($B$8,multiplexes!$A:$CA,W$19,0))</f>
        <v>23</v>
      </c>
      <c r="X24" s="4">
        <f>IF(VLOOKUP($B$8,multiplexes!$A:$CA,X$19,0)=0,"-",VLOOKUP($B$8,multiplexes!$A:$CA,X$19,0))</f>
        <v>23</v>
      </c>
      <c r="Y24" s="4">
        <f>IF(VLOOKUP($B$8,multiplexes!$A:$CA,Y$19,0)=0,"-",VLOOKUP($B$8,multiplexes!$A:$CA,Y$19,0))</f>
        <v>25</v>
      </c>
      <c r="Z24" s="4">
        <f>IF(VLOOKUP($B$8,multiplexes!$A:$CA,Z$19,0)=0,"-",VLOOKUP($B$8,multiplexes!$A:$CA,Z$19,0))</f>
        <v>25</v>
      </c>
      <c r="AA24" s="4">
        <f>IF(VLOOKUP($B$8,multiplexes!$A:$CA,AA$19,0)=0,"-",VLOOKUP($B$8,multiplexes!$A:$CA,AA$19,0))</f>
        <v>28</v>
      </c>
      <c r="AB24" s="4">
        <f>IF(VLOOKUP($B$8,multiplexes!$A:$CA,AB$19,0)=0,"-",VLOOKUP($B$8,multiplexes!$A:$CA,AB$19,0))</f>
        <v>28</v>
      </c>
      <c r="AC24" s="4">
        <f>IF(VLOOKUP($B$8,multiplexes!$A:$CA,AC$19,0)=0,"-",VLOOKUP($B$8,multiplexes!$A:$CA,AC$19,0))</f>
        <v>28</v>
      </c>
      <c r="AD24" s="4">
        <f>IF(VLOOKUP($B$8,multiplexes!$A:$CA,AD$19,0)=0,"-",VLOOKUP($B$8,multiplexes!$A:$CA,AD$19,0))</f>
        <v>28</v>
      </c>
      <c r="AE24" s="4">
        <f>IF(VLOOKUP($B$8,multiplexes!$A:$CA,AE$19,0)=0,"-",VLOOKUP($B$8,multiplexes!$A:$CA,AE$19,0))</f>
        <v>28</v>
      </c>
      <c r="AF24" s="4">
        <f>IF(VLOOKUP($B$8,multiplexes!$A:$CA,AF$19,0)=0,"-",VLOOKUP($B$8,multiplexes!$A:$CA,AF$19,0))</f>
        <v>29</v>
      </c>
      <c r="AG24" s="4">
        <f>IF(VLOOKUP($B$8,multiplexes!$A:$CA,AG$19,0)=0,"-",VLOOKUP($B$8,multiplexes!$A:$CA,AG$19,0))</f>
        <v>30</v>
      </c>
      <c r="AH24" s="46"/>
      <c r="AI24" s="46"/>
      <c r="AJ24" s="46"/>
      <c r="AK24" s="46"/>
      <c r="AL24" s="46"/>
      <c r="AM24" s="46"/>
      <c r="AN24" s="46"/>
      <c r="AO24" s="46"/>
      <c r="AP24" s="46"/>
      <c r="AQ24" s="46"/>
      <c r="AR24" s="46"/>
      <c r="AS24" s="46"/>
      <c r="AT24" s="46"/>
      <c r="AU24" s="46"/>
      <c r="AV24" s="46"/>
      <c r="AW24" s="46"/>
      <c r="AX24" s="46"/>
    </row>
    <row r="25" spans="1:50" x14ac:dyDescent="0.2">
      <c r="A25" s="46" t="s">
        <v>65</v>
      </c>
      <c r="B25" s="63">
        <f>IF(VLOOKUP($B$8,séances!$A:$CA,B$19,0)=0,"-",VLOOKUP($B$8,séances!$A:$CA,B$19,0))</f>
        <v>476935</v>
      </c>
      <c r="C25" s="63">
        <f>IF(VLOOKUP($B$8,séances!$A:$CA,C$19,0)=0,"-",VLOOKUP($B$8,séances!$A:$CA,C$19,0))</f>
        <v>486367</v>
      </c>
      <c r="D25" s="63">
        <f>IF(VLOOKUP($B$8,séances!$A:$CA,D$19,0)=0,"-",VLOOKUP($B$8,séances!$A:$CA,D$19,0))</f>
        <v>493463</v>
      </c>
      <c r="E25" s="63">
        <f>IF(VLOOKUP($B$8,séances!$A:$CA,E$19,0)=0,"-",VLOOKUP($B$8,séances!$A:$CA,E$19,0))</f>
        <v>486970</v>
      </c>
      <c r="F25" s="63">
        <f>IF(VLOOKUP($B$8,séances!$A:$CA,F$19,0)=0,"-",VLOOKUP($B$8,séances!$A:$CA,F$19,0))</f>
        <v>520139</v>
      </c>
      <c r="G25" s="63">
        <f>IF(VLOOKUP($B$8,séances!$A:$CA,G$19,0)=0,"-",VLOOKUP($B$8,séances!$A:$CA,G$19,0))</f>
        <v>553251</v>
      </c>
      <c r="H25" s="63">
        <f>IF(VLOOKUP($B$8,séances!$A:$CA,H$19,0)=0,"-",VLOOKUP($B$8,séances!$A:$CA,H$19,0))</f>
        <v>587411</v>
      </c>
      <c r="I25" s="63">
        <f>IF(VLOOKUP($B$8,séances!$A:$CA,I$19,0)=0,"-",VLOOKUP($B$8,séances!$A:$CA,I$19,0))</f>
        <v>594707</v>
      </c>
      <c r="J25" s="63">
        <f>IF(VLOOKUP($B$8,séances!$A:$CA,J$19,0)=0,"-",VLOOKUP($B$8,séances!$A:$CA,J$19,0))</f>
        <v>623848</v>
      </c>
      <c r="K25" s="63">
        <f>IF(VLOOKUP($B$8,séances!$A:$CA,K$19,0)=0,"-",VLOOKUP($B$8,séances!$A:$CA,K$19,0))</f>
        <v>707806</v>
      </c>
      <c r="L25" s="63">
        <f>IF(VLOOKUP($B$8,séances!$A:$CA,L$19,0)=0,"-",VLOOKUP($B$8,séances!$A:$CA,L$19,0))</f>
        <v>719367</v>
      </c>
      <c r="M25" s="63">
        <f>IF(VLOOKUP($B$8,séances!$A:$CA,M$19,0)=0,"-",VLOOKUP($B$8,séances!$A:$CA,M$19,0))</f>
        <v>719065</v>
      </c>
      <c r="N25" s="63">
        <f>IF(VLOOKUP($B$8,séances!$A:$CA,N$19,0)=0,"-",VLOOKUP($B$8,séances!$A:$CA,N$19,0))</f>
        <v>710716</v>
      </c>
      <c r="O25" s="63">
        <f>IF(VLOOKUP($B$8,séances!$A:$CA,O$19,0)=0,"-",VLOOKUP($B$8,séances!$A:$CA,O$19,0))</f>
        <v>709982</v>
      </c>
      <c r="P25" s="63">
        <f>IF(VLOOKUP($B$8,séances!$A:$CA,P$19,0)=0,"-",VLOOKUP($B$8,séances!$A:$CA,P$19,0))</f>
        <v>712686</v>
      </c>
      <c r="Q25" s="63">
        <f>IF(VLOOKUP($B$8,séances!$A:$CA,Q$19,0)=0,"-",VLOOKUP($B$8,séances!$A:$CA,Q$19,0))</f>
        <v>721759</v>
      </c>
      <c r="R25" s="63">
        <f>IF(VLOOKUP($B$8,séances!$A:$CA,R$19,0)=0,"-",VLOOKUP($B$8,séances!$A:$CA,R$19,0))</f>
        <v>762532</v>
      </c>
      <c r="S25" s="63">
        <f>IF(VLOOKUP($B$8,séances!$A:$CA,S$19,0)=0,"-",VLOOKUP($B$8,séances!$A:$CA,S$19,0))</f>
        <v>797125</v>
      </c>
      <c r="T25" s="63">
        <f>IF(VLOOKUP($B$8,séances!$A:$CA,T$19,0)=0,"-",VLOOKUP($B$8,séances!$A:$CA,T$19,0))</f>
        <v>807068</v>
      </c>
      <c r="U25" s="63">
        <f>IF(VLOOKUP($B$8,séances!$A:$CA,U$19,0)=0,"-",VLOOKUP($B$8,séances!$A:$CA,U$19,0))</f>
        <v>835310</v>
      </c>
      <c r="V25" s="63">
        <f>IF(VLOOKUP($B$8,séances!$A:$CA,V$19,0)=0,"-",VLOOKUP($B$8,séances!$A:$CA,V$19,0))</f>
        <v>875487</v>
      </c>
      <c r="W25" s="63">
        <f>IF(VLOOKUP($B$8,séances!$A:$CA,W$19,0)=0,"-",VLOOKUP($B$8,séances!$A:$CA,W$19,0))</f>
        <v>891283</v>
      </c>
      <c r="X25" s="63">
        <f>IF(VLOOKUP($B$8,séances!$A:$CA,X$19,0)=0,"-",VLOOKUP($B$8,séances!$A:$CA,X$19,0))</f>
        <v>932447</v>
      </c>
      <c r="Y25" s="63">
        <f>IF(VLOOKUP($B$8,séances!$A:$CA,Y$19,0)=0,"-",VLOOKUP($B$8,séances!$A:$CA,Y$19,0))</f>
        <v>948774</v>
      </c>
      <c r="Z25" s="63">
        <f>IF(VLOOKUP($B$8,séances!$A:$CA,Z$19,0)=0,"-",VLOOKUP($B$8,séances!$A:$CA,Z$19,0))</f>
        <v>965568</v>
      </c>
      <c r="AA25" s="63">
        <f>IF(VLOOKUP($B$8,séances!$A:$CA,AA$19,0)=0,"-",VLOOKUP($B$8,séances!$A:$CA,AA$19,0))</f>
        <v>994376</v>
      </c>
      <c r="AB25" s="63">
        <f>IF(VLOOKUP($B$8,séances!$A:$CA,AB$19,0)=0,"-",VLOOKUP($B$8,séances!$A:$CA,AB$19,0))</f>
        <v>1053273</v>
      </c>
      <c r="AC25" s="63">
        <f>IF(VLOOKUP($B$8,séances!$A:$CA,AC$19,0)=0,"-",VLOOKUP($B$8,séances!$A:$CA,AC$19,0))</f>
        <v>1056496</v>
      </c>
      <c r="AD25" s="63">
        <f>IF(VLOOKUP($B$8,séances!$A:$CA,AD$19,0)=0,"-",VLOOKUP($B$8,séances!$A:$CA,AD$19,0))</f>
        <v>520604</v>
      </c>
      <c r="AE25" s="63">
        <f>IF(VLOOKUP($B$8,séances!$A:$CA,AE$19,0)=0,"-",VLOOKUP($B$8,séances!$A:$CA,AE$19,0))</f>
        <v>607029</v>
      </c>
      <c r="AF25" s="63">
        <f>IF(VLOOKUP($B$8,séances!$A:$CA,AF$19,0)=0,"-",VLOOKUP($B$8,séances!$A:$CA,AF$19,0))</f>
        <v>1016052</v>
      </c>
      <c r="AG25" s="63">
        <f>IF(VLOOKUP($B$8,séances!$A:$CA,AG$19,0)=0,"-",VLOOKUP($B$8,séances!$A:$CA,AG$19,0))</f>
        <v>1001529</v>
      </c>
      <c r="AH25" s="46"/>
      <c r="AI25" s="46"/>
      <c r="AJ25" s="46"/>
      <c r="AK25" s="46"/>
      <c r="AL25" s="46"/>
      <c r="AM25" s="46"/>
      <c r="AN25" s="46"/>
      <c r="AO25" s="46"/>
      <c r="AP25" s="46"/>
      <c r="AQ25" s="46"/>
      <c r="AR25" s="46"/>
      <c r="AS25" s="46"/>
      <c r="AT25" s="46"/>
      <c r="AU25" s="46"/>
      <c r="AV25" s="46"/>
      <c r="AW25" s="46"/>
      <c r="AX25" s="46"/>
    </row>
    <row r="26" spans="1:50" x14ac:dyDescent="0.2">
      <c r="A26" s="46" t="s">
        <v>59</v>
      </c>
      <c r="B26" s="58">
        <f>IF(VLOOKUP($B$8,entrées!$A:$CB,B$19,0)=0,"-",VLOOKUP($B$8,entrées!$A:$CB,B$19,0))</f>
        <v>13724983</v>
      </c>
      <c r="C26" s="58">
        <f>IF(VLOOKUP($B$8,entrées!$A:$CB,C$19,0)=0,"-",VLOOKUP($B$8,entrées!$A:$CB,C$19,0))</f>
        <v>15757406</v>
      </c>
      <c r="D26" s="58">
        <f>IF(VLOOKUP($B$8,entrées!$A:$CB,D$19,0)=0,"-",VLOOKUP($B$8,entrées!$A:$CB,D$19,0))</f>
        <v>14609116</v>
      </c>
      <c r="E26" s="58">
        <f>IF(VLOOKUP($B$8,entrées!$A:$CB,E$19,0)=0,"-",VLOOKUP($B$8,entrées!$A:$CB,E$19,0))</f>
        <v>15480249</v>
      </c>
      <c r="F26" s="58">
        <f>IF(VLOOKUP($B$8,entrées!$A:$CB,F$19,0)=0,"-",VLOOKUP($B$8,entrées!$A:$CB,F$19,0))</f>
        <v>16451686</v>
      </c>
      <c r="G26" s="58">
        <f>IF(VLOOKUP($B$8,entrées!$A:$CB,G$19,0)=0,"-",VLOOKUP($B$8,entrées!$A:$CB,G$19,0))</f>
        <v>17725886</v>
      </c>
      <c r="H26" s="58">
        <f>IF(VLOOKUP($B$8,entrées!$A:$CB,H$19,0)=0,"-",VLOOKUP($B$8,entrées!$A:$CB,H$19,0))</f>
        <v>20856788</v>
      </c>
      <c r="I26" s="58">
        <f>IF(VLOOKUP($B$8,entrées!$A:$CB,I$19,0)=0,"-",VLOOKUP($B$8,entrées!$A:$CB,I$19,0))</f>
        <v>18401197</v>
      </c>
      <c r="J26" s="58">
        <f>IF(VLOOKUP($B$8,entrées!$A:$CB,J$19,0)=0,"-",VLOOKUP($B$8,entrées!$A:$CB,J$19,0))</f>
        <v>19052843</v>
      </c>
      <c r="K26" s="58">
        <f>IF(VLOOKUP($B$8,entrées!$A:$CB,K$19,0)=0,"-",VLOOKUP($B$8,entrées!$A:$CB,K$19,0))</f>
        <v>22871223</v>
      </c>
      <c r="L26" s="58">
        <f>IF(VLOOKUP($B$8,entrées!$A:$CB,L$19,0)=0,"-",VLOOKUP($B$8,entrées!$A:$CB,L$19,0))</f>
        <v>22556274</v>
      </c>
      <c r="M26" s="58">
        <f>IF(VLOOKUP($B$8,entrées!$A:$CB,M$19,0)=0,"-",VLOOKUP($B$8,entrées!$A:$CB,M$19,0))</f>
        <v>20639319</v>
      </c>
      <c r="N26" s="58">
        <f>IF(VLOOKUP($B$8,entrées!$A:$CB,N$19,0)=0,"-",VLOOKUP($B$8,entrées!$A:$CB,N$19,0))</f>
        <v>23488235</v>
      </c>
      <c r="O26" s="58">
        <f>IF(VLOOKUP($B$8,entrées!$A:$CB,O$19,0)=0,"-",VLOOKUP($B$8,entrées!$A:$CB,O$19,0))</f>
        <v>20774678</v>
      </c>
      <c r="P26" s="58">
        <f>IF(VLOOKUP($B$8,entrées!$A:$CB,P$19,0)=0,"-",VLOOKUP($B$8,entrées!$A:$CB,P$19,0))</f>
        <v>22111532</v>
      </c>
      <c r="Q26" s="58">
        <f>IF(VLOOKUP($B$8,entrées!$A:$CB,Q$19,0)=0,"-",VLOOKUP($B$8,entrées!$A:$CB,Q$19,0))</f>
        <v>20924021</v>
      </c>
      <c r="R26" s="58">
        <f>IF(VLOOKUP($B$8,entrées!$A:$CB,R$19,0)=0,"-",VLOOKUP($B$8,entrées!$A:$CB,R$19,0))</f>
        <v>22103315</v>
      </c>
      <c r="S26" s="58">
        <f>IF(VLOOKUP($B$8,entrées!$A:$CB,S$19,0)=0,"-",VLOOKUP($B$8,entrées!$A:$CB,S$19,0))</f>
        <v>23780457</v>
      </c>
      <c r="T26" s="58">
        <f>IF(VLOOKUP($B$8,entrées!$A:$CB,T$19,0)=0,"-",VLOOKUP($B$8,entrées!$A:$CB,T$19,0))</f>
        <v>24859981</v>
      </c>
      <c r="U26" s="58">
        <f>IF(VLOOKUP($B$8,entrées!$A:$CB,U$19,0)=0,"-",VLOOKUP($B$8,entrées!$A:$CB,U$19,0))</f>
        <v>25726850</v>
      </c>
      <c r="V26" s="58">
        <f>IF(VLOOKUP($B$8,entrées!$A:$CB,V$19,0)=0,"-",VLOOKUP($B$8,entrées!$A:$CB,V$19,0))</f>
        <v>24091568</v>
      </c>
      <c r="W26" s="58">
        <f>IF(VLOOKUP($B$8,entrées!$A:$CB,W$19,0)=0,"-",VLOOKUP($B$8,entrées!$A:$CB,W$19,0))</f>
        <v>23463970</v>
      </c>
      <c r="X26" s="58">
        <f>IF(VLOOKUP($B$8,entrées!$A:$CB,X$19,0)=0,"-",VLOOKUP($B$8,entrées!$A:$CB,X$19,0))</f>
        <v>25055757</v>
      </c>
      <c r="Y26" s="58">
        <f>IF(VLOOKUP($B$8,entrées!$A:$CB,Y$19,0)=0,"-",VLOOKUP($B$8,entrées!$A:$CB,Y$19,0))</f>
        <v>24683508</v>
      </c>
      <c r="Z26" s="58">
        <f>IF(VLOOKUP($B$8,entrées!$A:$CB,Z$19,0)=0,"-",VLOOKUP($B$8,entrées!$A:$CB,Z$19,0))</f>
        <v>25690055</v>
      </c>
      <c r="AA26" s="58">
        <f>IF(VLOOKUP($B$8,entrées!$A:$CB,AA$19,0)=0,"-",VLOOKUP($B$8,entrées!$A:$CB,AA$19,0))</f>
        <v>24745205</v>
      </c>
      <c r="AB26" s="58">
        <f>IF(VLOOKUP($B$8,entrées!$A:$CB,AB$19,0)=0,"-",VLOOKUP($B$8,entrées!$A:$CB,AB$19,0))</f>
        <v>24302000</v>
      </c>
      <c r="AC26" s="58">
        <f>IF(VLOOKUP($B$8,entrées!$A:$CB,AC$19,0)=0,"-",VLOOKUP($B$8,entrées!$A:$CB,AC$19,0))</f>
        <v>25643217</v>
      </c>
      <c r="AD26" s="58">
        <f>IF(VLOOKUP($B$8,entrées!$A:$CB,AD$19,0)=0,"-",VLOOKUP($B$8,entrées!$A:$CB,AD$19,0))</f>
        <v>7778510</v>
      </c>
      <c r="AE26" s="58">
        <f>IF(VLOOKUP($B$8,entrées!$A:$CB,AE$19,0)=0,"-",VLOOKUP($B$8,entrées!$A:$CB,AE$19,0))</f>
        <v>11369033</v>
      </c>
      <c r="AF26" s="58">
        <f>IF(VLOOKUP($B$8,entrées!$A:$CB,AF$19,0)=0,"-",VLOOKUP($B$8,entrées!$A:$CB,AF$19,0))</f>
        <v>18192729</v>
      </c>
      <c r="AG26" s="58">
        <f>IF(VLOOKUP($B$8,entrées!$A:$CB,AG$19,0)=0,"-",VLOOKUP($B$8,entrées!$A:$CB,AG$19,0))</f>
        <v>21902929</v>
      </c>
      <c r="AH26" s="46"/>
      <c r="AI26" s="46"/>
      <c r="AJ26" s="46"/>
      <c r="AK26" s="46"/>
      <c r="AL26" s="46"/>
      <c r="AM26" s="46"/>
      <c r="AN26" s="46"/>
      <c r="AO26" s="46"/>
      <c r="AP26" s="46"/>
      <c r="AQ26" s="46"/>
      <c r="AR26" s="46"/>
      <c r="AS26" s="46"/>
      <c r="AT26" s="46"/>
      <c r="AU26" s="46"/>
      <c r="AV26" s="46"/>
      <c r="AW26" s="46"/>
      <c r="AX26" s="46"/>
    </row>
    <row r="27" spans="1:50" x14ac:dyDescent="0.2">
      <c r="A27" s="46" t="s">
        <v>60</v>
      </c>
      <c r="B27" s="58">
        <f>IF(VLOOKUP($B$8,recettes!$A:$CB,B$19,0)=0,"-",VLOOKUP($B$8,recettes!$A:$CB,B$19,0))</f>
        <v>69573631.560000002</v>
      </c>
      <c r="C27" s="58">
        <f>IF(VLOOKUP($B$8,recettes!$A:$CB,C$19,0)=0,"-",VLOOKUP($B$8,recettes!$A:$CB,C$19,0))</f>
        <v>79332115.019999996</v>
      </c>
      <c r="D27" s="58">
        <f>IF(VLOOKUP($B$8,recettes!$A:$CB,D$19,0)=0,"-",VLOOKUP($B$8,recettes!$A:$CB,D$19,0))</f>
        <v>73424213.179999992</v>
      </c>
      <c r="E27" s="58">
        <f>IF(VLOOKUP($B$8,recettes!$A:$CB,E$19,0)=0,"-",VLOOKUP($B$8,recettes!$A:$CB,E$19,0))</f>
        <v>77613595.140000001</v>
      </c>
      <c r="F27" s="58">
        <f>IF(VLOOKUP($B$8,recettes!$A:$CB,F$19,0)=0,"-",VLOOKUP($B$8,recettes!$A:$CB,F$19,0))</f>
        <v>82934198.63000001</v>
      </c>
      <c r="G27" s="58">
        <f>IF(VLOOKUP($B$8,recettes!$A:$CB,G$19,0)=0,"-",VLOOKUP($B$8,recettes!$A:$CB,G$19,0))</f>
        <v>89786369.390000001</v>
      </c>
      <c r="H27" s="58">
        <f>IF(VLOOKUP($B$8,recettes!$A:$CB,H$19,0)=0,"-",VLOOKUP($B$8,recettes!$A:$CB,H$19,0))</f>
        <v>109450980.69999999</v>
      </c>
      <c r="I27" s="58">
        <f>IF(VLOOKUP($B$8,recettes!$A:$CB,I$19,0)=0,"-",VLOOKUP($B$8,recettes!$A:$CB,I$19,0))</f>
        <v>96202320.820000008</v>
      </c>
      <c r="J27" s="58">
        <f>IF(VLOOKUP($B$8,recettes!$A:$CB,J$19,0)=0,"-",VLOOKUP($B$8,recettes!$A:$CB,J$19,0))</f>
        <v>100721734.92999999</v>
      </c>
      <c r="K27" s="58">
        <f>IF(VLOOKUP($B$8,recettes!$A:$CB,K$19,0)=0,"-",VLOOKUP($B$8,recettes!$A:$CB,K$19,0))</f>
        <v>123151984.54000001</v>
      </c>
      <c r="L27" s="58">
        <f>IF(VLOOKUP($B$8,recettes!$A:$CB,L$19,0)=0,"-",VLOOKUP($B$8,recettes!$A:$CB,L$19,0))</f>
        <v>125295392.48</v>
      </c>
      <c r="M27" s="58">
        <f>IF(VLOOKUP($B$8,recettes!$A:$CB,M$19,0)=0,"-",VLOOKUP($B$8,recettes!$A:$CB,M$19,0))</f>
        <v>117014898.16</v>
      </c>
      <c r="N27" s="58">
        <f>IF(VLOOKUP($B$8,recettes!$A:$CB,N$19,0)=0,"-",VLOOKUP($B$8,recettes!$A:$CB,N$19,0))</f>
        <v>135605774.76999998</v>
      </c>
      <c r="O27" s="58">
        <f>IF(VLOOKUP($B$8,recettes!$A:$CB,O$19,0)=0,"-",VLOOKUP($B$8,recettes!$A:$CB,O$19,0))</f>
        <v>121901189.12</v>
      </c>
      <c r="P27" s="58">
        <f>IF(VLOOKUP($B$8,recettes!$A:$CB,P$19,0)=0,"-",VLOOKUP($B$8,recettes!$A:$CB,P$19,0))</f>
        <v>131625876.63000001</v>
      </c>
      <c r="Q27" s="58">
        <f>IF(VLOOKUP($B$8,recettes!$A:$CB,Q$19,0)=0,"-",VLOOKUP($B$8,recettes!$A:$CB,Q$19,0))</f>
        <v>125454391.88</v>
      </c>
      <c r="R27" s="58">
        <f>IF(VLOOKUP($B$8,recettes!$A:$CB,R$19,0)=0,"-",VLOOKUP($B$8,recettes!$A:$CB,R$19,0))</f>
        <v>134461238.55999997</v>
      </c>
      <c r="S27" s="58">
        <f>IF(VLOOKUP($B$8,recettes!$A:$CB,S$19,0)=0,"-",VLOOKUP($B$8,recettes!$A:$CB,S$19,0))</f>
        <v>148403754.88999999</v>
      </c>
      <c r="T27" s="58">
        <f>IF(VLOOKUP($B$8,recettes!$A:$CB,T$19,0)=0,"-",VLOOKUP($B$8,recettes!$A:$CB,T$19,0))</f>
        <v>160602859.31</v>
      </c>
      <c r="U27" s="58">
        <f>IF(VLOOKUP($B$8,recettes!$A:$CB,U$19,0)=0,"-",VLOOKUP($B$8,recettes!$A:$CB,U$19,0))</f>
        <v>166214672.02999997</v>
      </c>
      <c r="V27" s="58">
        <f>IF(VLOOKUP($B$8,recettes!$A:$CB,V$19,0)=0,"-",VLOOKUP($B$8,recettes!$A:$CB,V$19,0))</f>
        <v>157764318.28000003</v>
      </c>
      <c r="W27" s="58">
        <f>IF(VLOOKUP($B$8,recettes!$A:$CB,W$19,0)=0,"-",VLOOKUP($B$8,recettes!$A:$CB,W$19,0))</f>
        <v>154141566.75999999</v>
      </c>
      <c r="X27" s="58">
        <f>IF(VLOOKUP($B$8,recettes!$A:$CB,X$19,0)=0,"-",VLOOKUP($B$8,recettes!$A:$CB,X$19,0))</f>
        <v>161929676.31</v>
      </c>
      <c r="Y27" s="58">
        <f>IF(VLOOKUP($B$8,recettes!$A:$CB,Y$19,0)=0,"-",VLOOKUP($B$8,recettes!$A:$CB,Y$19,0))</f>
        <v>161597965.53</v>
      </c>
      <c r="Z27" s="58">
        <f>IF(VLOOKUP($B$8,recettes!$A:$CB,Z$19,0)=0,"-",VLOOKUP($B$8,recettes!$A:$CB,Z$19,0))</f>
        <v>168602280.44</v>
      </c>
      <c r="AA27" s="58">
        <f>IF(VLOOKUP($B$8,recettes!$A:$CB,AA$19,0)=0,"-",VLOOKUP($B$8,recettes!$A:$CB,AA$19,0))</f>
        <v>163993071.55999997</v>
      </c>
      <c r="AB27" s="58">
        <f>IF(VLOOKUP($B$8,recettes!$A:$CB,AB$19,0)=0,"-",VLOOKUP($B$8,recettes!$A:$CB,AB$19,0))</f>
        <v>161474732.97</v>
      </c>
      <c r="AC27" s="58">
        <f>IF(VLOOKUP($B$8,recettes!$A:$CB,AC$19,0)=0,"-",VLOOKUP($B$8,recettes!$A:$CB,AC$19,0))</f>
        <v>173854946.34999999</v>
      </c>
      <c r="AD27" s="58">
        <f>IF(VLOOKUP($B$8,recettes!$A:$CB,AD$19,0)=0,"-",VLOOKUP($B$8,recettes!$A:$CB,AD$19,0))</f>
        <v>51790843.770000003</v>
      </c>
      <c r="AE27" s="58">
        <f>IF(VLOOKUP($B$8,recettes!$A:$CB,AE$19,0)=0,"-",VLOOKUP($B$8,recettes!$A:$CB,AE$19,0))</f>
        <v>80165610.280000001</v>
      </c>
      <c r="AF27" s="58">
        <f>IF(VLOOKUP($B$8,recettes!$A:$CB,AF$19,0)=0,"-",VLOOKUP($B$8,recettes!$A:$CB,AF$19,0))</f>
        <v>130867411.92</v>
      </c>
      <c r="AG27" s="58">
        <f>IF(VLOOKUP($B$8,recettes!$A:$CB,AG$19,0)=0,"-",VLOOKUP($B$8,recettes!$A:$CB,AG$19,0))</f>
        <v>162313138.05000001</v>
      </c>
      <c r="AH27" s="46"/>
      <c r="AI27" s="46"/>
      <c r="AJ27" s="46"/>
      <c r="AK27" s="46"/>
      <c r="AL27" s="46"/>
      <c r="AM27" s="46"/>
      <c r="AN27" s="46"/>
      <c r="AO27" s="46"/>
      <c r="AP27" s="46"/>
      <c r="AQ27" s="46"/>
      <c r="AR27" s="46"/>
      <c r="AS27" s="46"/>
      <c r="AT27" s="46"/>
      <c r="AU27" s="46"/>
      <c r="AV27" s="46"/>
      <c r="AW27" s="46"/>
      <c r="AX27" s="46"/>
    </row>
    <row r="28" spans="1:50" x14ac:dyDescent="0.2">
      <c r="A28" s="46" t="s">
        <v>61</v>
      </c>
      <c r="B28" s="59">
        <f>IF(VLOOKUP($B$8,RME!$A:$CB,B$19,0)=0,"-",VLOOKUP($B$8,RME!$A:$CB,B$19,0))</f>
        <v>5.0691233322474787</v>
      </c>
      <c r="C28" s="59">
        <f>IF(VLOOKUP($B$8,RME!$A:$CB,C$19,0)=0,"-",VLOOKUP($B$8,RME!$A:$CB,C$19,0))</f>
        <v>5.0345923066271183</v>
      </c>
      <c r="D28" s="59">
        <f>IF(VLOOKUP($B$8,RME!$A:$CB,D$19,0)=0,"-",VLOOKUP($B$8,RME!$A:$CB,D$19,0))</f>
        <v>5.0259175969305732</v>
      </c>
      <c r="E28" s="59">
        <f>IF(VLOOKUP($B$8,RME!$A:$CB,E$19,0)=0,"-",VLOOKUP($B$8,RME!$A:$CB,E$19,0))</f>
        <v>5.0137174886527989</v>
      </c>
      <c r="F28" s="59">
        <f>IF(VLOOKUP($B$8,RME!$A:$CB,F$19,0)=0,"-",VLOOKUP($B$8,RME!$A:$CB,F$19,0))</f>
        <v>5.0410759499056823</v>
      </c>
      <c r="G28" s="59">
        <f>IF(VLOOKUP($B$8,RME!$A:$CB,G$19,0)=0,"-",VLOOKUP($B$8,RME!$A:$CB,G$19,0))</f>
        <v>5.0652683532998015</v>
      </c>
      <c r="H28" s="59">
        <f>IF(VLOOKUP($B$8,RME!$A:$CB,H$19,0)=0,"-",VLOOKUP($B$8,RME!$A:$CB,H$19,0))</f>
        <v>5.2477390430396085</v>
      </c>
      <c r="I28" s="59">
        <f>IF(VLOOKUP($B$8,RME!$A:$CB,I$19,0)=0,"-",VLOOKUP($B$8,RME!$A:$CB,I$19,0))</f>
        <v>5.2280468939058693</v>
      </c>
      <c r="J28" s="59">
        <f>IF(VLOOKUP($B$8,RME!$A:$CB,J$19,0)=0,"-",VLOOKUP($B$8,RME!$A:$CB,J$19,0))</f>
        <v>5.28644123766726</v>
      </c>
      <c r="K28" s="59">
        <f>IF(VLOOKUP($B$8,RME!$A:$CB,K$19,0)=0,"-",VLOOKUP($B$8,RME!$A:$CB,K$19,0))</f>
        <v>5.3845823872208323</v>
      </c>
      <c r="L28" s="59">
        <f>IF(VLOOKUP($B$8,RME!$A:$CB,L$19,0)=0,"-",VLOOKUP($B$8,RME!$A:$CB,L$19,0))</f>
        <v>5.5547912070938672</v>
      </c>
      <c r="M28" s="59">
        <f>IF(VLOOKUP($B$8,RME!$A:$CB,M$19,0)=0,"-",VLOOKUP($B$8,RME!$A:$CB,M$19,0))</f>
        <v>5.6695135222242552</v>
      </c>
      <c r="N28" s="59">
        <f>IF(VLOOKUP($B$8,RME!$A:$CB,N$19,0)=0,"-",VLOOKUP($B$8,RME!$A:$CB,N$19,0))</f>
        <v>5.7733488603975553</v>
      </c>
      <c r="O28" s="59">
        <f>IF(VLOOKUP($B$8,RME!$A:$CB,O$19,0)=0,"-",VLOOKUP($B$8,RME!$A:$CB,O$19,0))</f>
        <v>5.8677775472621043</v>
      </c>
      <c r="P28" s="59">
        <f>IF(VLOOKUP($B$8,RME!$A:$CB,P$19,0)=0,"-",VLOOKUP($B$8,RME!$A:$CB,P$19,0))</f>
        <v>5.9528157809237285</v>
      </c>
      <c r="Q28" s="59">
        <f>IF(VLOOKUP($B$8,RME!$A:$CB,Q$19,0)=0,"-",VLOOKUP($B$8,RME!$A:$CB,Q$19,0))</f>
        <v>5.9957114304176997</v>
      </c>
      <c r="R28" s="59">
        <f>IF(VLOOKUP($B$8,RME!$A:$CB,R$19,0)=0,"-",VLOOKUP($B$8,RME!$A:$CB,R$19,0))</f>
        <v>6.083306443400005</v>
      </c>
      <c r="S28" s="59">
        <f>IF(VLOOKUP($B$8,RME!$A:$CB,S$19,0)=0,"-",VLOOKUP($B$8,RME!$A:$CB,S$19,0))</f>
        <v>6.2405762382951675</v>
      </c>
      <c r="T28" s="59">
        <f>IF(VLOOKUP($B$8,RME!$A:$CB,T$19,0)=0,"-",VLOOKUP($B$8,RME!$A:$CB,T$19,0))</f>
        <v>6.4602969451183414</v>
      </c>
      <c r="U28" s="59">
        <f>IF(VLOOKUP($B$8,RME!$A:$CB,U$19,0)=0,"-",VLOOKUP($B$8,RME!$A:$CB,U$19,0))</f>
        <v>6.4607471194491346</v>
      </c>
      <c r="V28" s="59">
        <f>IF(VLOOKUP($B$8,RME!$A:$CB,V$19,0)=0,"-",VLOOKUP($B$8,RME!$A:$CB,V$19,0))</f>
        <v>6.5485284428145167</v>
      </c>
      <c r="W28" s="59">
        <f>IF(VLOOKUP($B$8,RME!$A:$CB,W$19,0)=0,"-",VLOOKUP($B$8,RME!$A:$CB,W$19,0))</f>
        <v>6.5692875826213548</v>
      </c>
      <c r="X28" s="59">
        <f>IF(VLOOKUP($B$8,RME!$A:$CB,X$19,0)=0,"-",VLOOKUP($B$8,RME!$A:$CB,X$19,0))</f>
        <v>6.462773258457128</v>
      </c>
      <c r="Y28" s="59">
        <f>IF(VLOOKUP($B$8,RME!$A:$CB,Y$19,0)=0,"-",VLOOKUP($B$8,RME!$A:$CB,Y$19,0))</f>
        <v>6.546799001584378</v>
      </c>
      <c r="Z28" s="59">
        <f>IF(VLOOKUP($B$8,RME!$A:$CB,Z$19,0)=0,"-",VLOOKUP($B$8,RME!$A:$CB,Z$19,0))</f>
        <v>6.5629396449326398</v>
      </c>
      <c r="AA28" s="59">
        <f>IF(VLOOKUP($B$8,RME!$A:$CB,AA$19,0)=0,"-",VLOOKUP($B$8,RME!$A:$CB,AA$19,0))</f>
        <v>6.6272666385265335</v>
      </c>
      <c r="AB28" s="59">
        <f>IF(VLOOKUP($B$8,RME!$A:$CB,AB$19,0)=0,"-",VLOOKUP($B$8,RME!$A:$CB,AB$19,0))</f>
        <v>6.644503866759937</v>
      </c>
      <c r="AC28" s="59">
        <f>IF(VLOOKUP($B$8,RME!$A:$CB,AC$19,0)=0,"-",VLOOKUP($B$8,RME!$A:$CB,AC$19,0))</f>
        <v>6.7797634887229634</v>
      </c>
      <c r="AD28" s="59">
        <f>IF(VLOOKUP($B$8,RME!$A:$CB,AD$19,0)=0,"-",VLOOKUP($B$8,RME!$A:$CB,AD$19,0))</f>
        <v>6.6581959488385314</v>
      </c>
      <c r="AE28" s="59">
        <f>IF(VLOOKUP($B$8,RME!$A:$CB,AE$19,0)=0,"-",VLOOKUP($B$8,RME!$A:$CB,AE$19,0))</f>
        <v>7.051225049659017</v>
      </c>
      <c r="AF28" s="59">
        <f>IF(VLOOKUP($B$8,RME!$A:$CB,AF$19,0)=0,"-",VLOOKUP($B$8,RME!$A:$CB,AF$19,0))</f>
        <v>7.1933909376652618</v>
      </c>
      <c r="AG28" s="59">
        <f>IF(VLOOKUP($B$8,RME!$A:$CB,AG$19,0)=0,"-",VLOOKUP($B$8,RME!$A:$CB,AG$19,0))</f>
        <v>7.4105676939371907</v>
      </c>
      <c r="AH28" s="46"/>
      <c r="AI28" s="46"/>
      <c r="AJ28" s="46"/>
      <c r="AK28" s="46"/>
      <c r="AL28" s="46"/>
      <c r="AM28" s="46"/>
      <c r="AN28" s="46"/>
      <c r="AO28" s="46"/>
      <c r="AP28" s="46"/>
      <c r="AQ28" s="46"/>
      <c r="AR28" s="46"/>
      <c r="AS28" s="46"/>
      <c r="AT28" s="46"/>
      <c r="AU28" s="46"/>
      <c r="AV28" s="46"/>
      <c r="AW28" s="46"/>
      <c r="AX28" s="46"/>
    </row>
    <row r="29" spans="1:50" x14ac:dyDescent="0.2">
      <c r="A29" s="46" t="s">
        <v>62</v>
      </c>
      <c r="B29" s="59">
        <f>IF(VLOOKUP($B$8,'indice de fréquentation'!$A:$CB,B$19,0)=0,"-",VLOOKUP($B$8,'indice de fréquentation'!$A:$CB,B$19,0))</f>
        <v>2.0571279760008934</v>
      </c>
      <c r="C29" s="59">
        <f>IF(VLOOKUP($B$8,'indice de fréquentation'!$A:$CB,C$19,0)=0,"-",VLOOKUP($B$8,'indice de fréquentation'!$A:$CB,C$19,0))</f>
        <v>2.3617516110442054</v>
      </c>
      <c r="D29" s="59">
        <f>IF(VLOOKUP($B$8,'indice de fréquentation'!$A:$CB,D$19,0)=0,"-",VLOOKUP($B$8,'indice de fréquentation'!$A:$CB,D$19,0))</f>
        <v>2.1896436030734803</v>
      </c>
      <c r="E29" s="59">
        <f>IF(VLOOKUP($B$8,'indice de fréquentation'!$A:$CB,E$19,0)=0,"-",VLOOKUP($B$8,'indice de fréquentation'!$A:$CB,E$19,0))</f>
        <v>2.2260015228021284</v>
      </c>
      <c r="F29" s="59">
        <f>IF(VLOOKUP($B$8,'indice de fréquentation'!$A:$CB,F$19,0)=0,"-",VLOOKUP($B$8,'indice de fréquentation'!$A:$CB,F$19,0))</f>
        <v>2.3656905059254831</v>
      </c>
      <c r="G29" s="59">
        <f>IF(VLOOKUP($B$8,'indice de fréquentation'!$A:$CB,G$19,0)=0,"-",VLOOKUP($B$8,'indice de fréquentation'!$A:$CB,G$19,0))</f>
        <v>2.5489156685410506</v>
      </c>
      <c r="H29" s="59">
        <f>IF(VLOOKUP($B$8,'indice de fréquentation'!$A:$CB,H$19,0)=0,"-",VLOOKUP($B$8,'indice de fréquentation'!$A:$CB,H$19,0))</f>
        <v>2.9991275882423571</v>
      </c>
      <c r="I29" s="59">
        <f>IF(VLOOKUP($B$8,'indice de fréquentation'!$A:$CB,I$19,0)=0,"-",VLOOKUP($B$8,'indice de fréquentation'!$A:$CB,I$19,0))</f>
        <v>2.6460228477837764</v>
      </c>
      <c r="J29" s="59">
        <f>IF(VLOOKUP($B$8,'indice de fréquentation'!$A:$CB,J$19,0)=0,"-",VLOOKUP($B$8,'indice de fréquentation'!$A:$CB,J$19,0))</f>
        <v>2.7397270891256253</v>
      </c>
      <c r="K29" s="59">
        <f>IF(VLOOKUP($B$8,'indice de fréquentation'!$A:$CB,K$19,0)=0,"-",VLOOKUP($B$8,'indice de fréquentation'!$A:$CB,K$19,0))</f>
        <v>3.288795756860698</v>
      </c>
      <c r="L29" s="59">
        <f>IF(VLOOKUP($B$8,'indice de fréquentation'!$A:$CB,L$19,0)=0,"-",VLOOKUP($B$8,'indice de fréquentation'!$A:$CB,L$19,0))</f>
        <v>3.2435072764489807</v>
      </c>
      <c r="M29" s="59">
        <f>IF(VLOOKUP($B$8,'indice de fréquentation'!$A:$CB,M$19,0)=0,"-",VLOOKUP($B$8,'indice de fréquentation'!$A:$CB,M$19,0))</f>
        <v>2.8053107208404899</v>
      </c>
      <c r="N29" s="59">
        <f>IF(VLOOKUP($B$8,'indice de fréquentation'!$A:$CB,N$19,0)=0,"-",VLOOKUP($B$8,'indice de fréquentation'!$A:$CB,N$19,0))</f>
        <v>3.1925373826103871</v>
      </c>
      <c r="O29" s="59">
        <f>IF(VLOOKUP($B$8,'indice de fréquentation'!$A:$CB,O$19,0)=0,"-",VLOOKUP($B$8,'indice de fréquentation'!$A:$CB,O$19,0))</f>
        <v>2.5179883512599104</v>
      </c>
      <c r="P29" s="59">
        <f>IF(VLOOKUP($B$8,'indice de fréquentation'!$A:$CB,P$19,0)=0,"-",VLOOKUP($B$8,'indice de fréquentation'!$A:$CB,P$19,0))</f>
        <v>2.680021322328594</v>
      </c>
      <c r="Q29" s="59">
        <f>IF(VLOOKUP($B$8,'indice de fréquentation'!$A:$CB,Q$19,0)=0,"-",VLOOKUP($B$8,'indice de fréquentation'!$A:$CB,Q$19,0))</f>
        <v>2.5360894228790332</v>
      </c>
      <c r="R29" s="59">
        <f>IF(VLOOKUP($B$8,'indice de fréquentation'!$A:$CB,R$19,0)=0,"-",VLOOKUP($B$8,'indice de fréquentation'!$A:$CB,R$19,0))</f>
        <v>2.6790253834128475</v>
      </c>
      <c r="S29" s="59">
        <f>IF(VLOOKUP($B$8,'indice de fréquentation'!$A:$CB,S$19,0)=0,"-",VLOOKUP($B$8,'indice de fréquentation'!$A:$CB,S$19,0))</f>
        <v>2.8823028551218557</v>
      </c>
      <c r="T29" s="59">
        <f>IF(VLOOKUP($B$8,'indice de fréquentation'!$A:$CB,T$19,0)=0,"-",VLOOKUP($B$8,'indice de fréquentation'!$A:$CB,T$19,0))</f>
        <v>3.0131462240012916</v>
      </c>
      <c r="U29" s="59">
        <f>IF(VLOOKUP($B$8,'indice de fréquentation'!$A:$CB,U$19,0)=0,"-",VLOOKUP($B$8,'indice de fréquentation'!$A:$CB,U$19,0))</f>
        <v>3.1182148100977081</v>
      </c>
      <c r="V29" s="59">
        <f>IF(VLOOKUP($B$8,'indice de fréquentation'!$A:$CB,V$19,0)=0,"-",VLOOKUP($B$8,'indice de fréquentation'!$A:$CB,V$19,0))</f>
        <v>2.9200109666001093</v>
      </c>
      <c r="W29" s="59">
        <f>IF(VLOOKUP($B$8,'indice de fréquentation'!$A:$CB,W$19,0)=0,"-",VLOOKUP($B$8,'indice de fréquentation'!$A:$CB,W$19,0))</f>
        <v>2.8439431472445449</v>
      </c>
      <c r="X29" s="59">
        <f>IF(VLOOKUP($B$8,'indice de fréquentation'!$A:$CB,X$19,0)=0,"-",VLOOKUP($B$8,'indice de fréquentation'!$A:$CB,X$19,0))</f>
        <v>3.0368751928669586</v>
      </c>
      <c r="Y29" s="59">
        <f>IF(VLOOKUP($B$8,'indice de fréquentation'!$A:$CB,Y$19,0)=0,"-",VLOOKUP($B$8,'indice de fréquentation'!$A:$CB,Y$19,0))</f>
        <v>2.9917568692150516</v>
      </c>
      <c r="Z29" s="59">
        <f>IF(VLOOKUP($B$8,'indice de fréquentation'!$A:$CB,Z$19,0)=0,"-",VLOOKUP($B$8,'indice de fréquentation'!$A:$CB,Z$19,0))</f>
        <v>3.113755083627598</v>
      </c>
      <c r="AA29" s="59">
        <f>IF(VLOOKUP($B$8,'indice de fréquentation'!$A:$CB,AA$19,0)=0,"-",VLOOKUP($B$8,'indice de fréquentation'!$A:$CB,AA$19,0))</f>
        <v>2.9992348348089197</v>
      </c>
      <c r="AB29" s="59">
        <f>IF(VLOOKUP($B$8,'indice de fréquentation'!$A:$CB,AB$19,0)=0,"-",VLOOKUP($B$8,'indice de fréquentation'!$A:$CB,AB$19,0))</f>
        <v>2.9455163113632059</v>
      </c>
      <c r="AC29" s="59">
        <f>IF(VLOOKUP($B$8,'indice de fréquentation'!$A:$CB,AC$19,0)=0,"-",VLOOKUP($B$8,'indice de fréquentation'!$A:$CB,AC$19,0))</f>
        <v>3.1080780984826868</v>
      </c>
      <c r="AD29" s="59">
        <f>IF(VLOOKUP($B$8,'indice de fréquentation'!$A:$CB,AD$19,0)=0,"-",VLOOKUP($B$8,'indice de fréquentation'!$A:$CB,AD$19,0))</f>
        <v>0.94279187240152296</v>
      </c>
      <c r="AE29" s="59">
        <f>IF(VLOOKUP($B$8,'indice de fréquentation'!$A:$CB,AE$19,0)=0,"-",VLOOKUP($B$8,'indice de fréquentation'!$A:$CB,AE$19,0))</f>
        <v>1.3779800899484225</v>
      </c>
      <c r="AF29" s="59">
        <f>IF(VLOOKUP($B$8,'indice de fréquentation'!$A:$CB,AF$19,0)=0,"-",VLOOKUP($B$8,'indice de fréquentation'!$A:$CB,AF$19,0))</f>
        <v>2.2050440300267646</v>
      </c>
      <c r="AG29" s="59">
        <f>IF(VLOOKUP($B$8,'indice de fréquentation'!$A:$CB,AG$19,0)=0,"-",VLOOKUP($B$8,'indice de fréquentation'!$A:$CB,AG$19,0))</f>
        <v>2.654737660938614</v>
      </c>
      <c r="AH29" s="46"/>
      <c r="AI29" s="46"/>
      <c r="AJ29" s="46"/>
      <c r="AK29" s="46"/>
      <c r="AL29" s="46"/>
      <c r="AM29" s="46"/>
      <c r="AN29" s="46"/>
      <c r="AO29" s="46"/>
      <c r="AP29" s="46"/>
      <c r="AQ29" s="46"/>
      <c r="AR29" s="46"/>
      <c r="AS29" s="46"/>
      <c r="AT29" s="46"/>
      <c r="AU29" s="46"/>
      <c r="AV29" s="46"/>
      <c r="AW29" s="46"/>
      <c r="AX29" s="46"/>
    </row>
    <row r="30" spans="1:50" x14ac:dyDescent="0.2">
      <c r="A30" s="46" t="s">
        <v>66</v>
      </c>
      <c r="B30" s="64">
        <f>IF(VLOOKUP($B$8,'taux d''occupation des fauteuils'!$A:$CA,B$19,0)=0,"-",VLOOKUP($B$8,'taux d''occupation des fauteuils'!$A:$CA,B$19,0))</f>
        <v>16.170276271485715</v>
      </c>
      <c r="C30" s="64">
        <f>IF(VLOOKUP($B$8,'taux d''occupation des fauteuils'!$A:$CA,C$19,0)=0,"-",VLOOKUP($B$8,'taux d''occupation des fauteuils'!$A:$CA,C$19,0))</f>
        <v>17.955468895267675</v>
      </c>
      <c r="D30" s="64">
        <f>IF(VLOOKUP($B$8,'taux d''occupation des fauteuils'!$A:$CA,D$19,0)=0,"-",VLOOKUP($B$8,'taux d''occupation des fauteuils'!$A:$CA,D$19,0))</f>
        <v>16.668852422803994</v>
      </c>
      <c r="E30" s="64">
        <f>IF(VLOOKUP($B$8,'taux d''occupation des fauteuils'!$A:$CA,E$19,0)=0,"-",VLOOKUP($B$8,'taux d''occupation des fauteuils'!$A:$CA,E$19,0))</f>
        <v>17.958504480174565</v>
      </c>
      <c r="F30" s="64">
        <f>IF(VLOOKUP($B$8,'taux d''occupation des fauteuils'!$A:$CA,F$19,0)=0,"-",VLOOKUP($B$8,'taux d''occupation des fauteuils'!$A:$CA,F$19,0))</f>
        <v>17.874886353539633</v>
      </c>
      <c r="G30" s="64">
        <f>IF(VLOOKUP($B$8,'taux d''occupation des fauteuils'!$A:$CA,G$19,0)=0,"-",VLOOKUP($B$8,'taux d''occupation des fauteuils'!$A:$CA,G$19,0))</f>
        <v>17.867771339931419</v>
      </c>
      <c r="H30" s="64">
        <f>IF(VLOOKUP($B$8,'taux d''occupation des fauteuils'!$A:$CA,H$19,0)=0,"-",VLOOKUP($B$8,'taux d''occupation des fauteuils'!$A:$CA,H$19,0))</f>
        <v>19.769925466740304</v>
      </c>
      <c r="I30" s="64">
        <f>IF(VLOOKUP($B$8,'taux d''occupation des fauteuils'!$A:$CA,I$19,0)=0,"-",VLOOKUP($B$8,'taux d''occupation des fauteuils'!$A:$CA,I$19,0))</f>
        <v>17.028203098031288</v>
      </c>
      <c r="J30" s="64">
        <f>IF(VLOOKUP($B$8,'taux d''occupation des fauteuils'!$A:$CA,J$19,0)=0,"-",VLOOKUP($B$8,'taux d''occupation des fauteuils'!$A:$CA,J$19,0))</f>
        <v>16.560395618974503</v>
      </c>
      <c r="K30" s="64">
        <f>IF(VLOOKUP($B$8,'taux d''occupation des fauteuils'!$A:$CA,K$19,0)=0,"-",VLOOKUP($B$8,'taux d''occupation des fauteuils'!$A:$CA,K$19,0))</f>
        <v>17.383747691328853</v>
      </c>
      <c r="L30" s="64">
        <f>IF(VLOOKUP($B$8,'taux d''occupation des fauteuils'!$A:$CA,L$19,0)=0,"-",VLOOKUP($B$8,'taux d''occupation des fauteuils'!$A:$CA,L$19,0))</f>
        <v>16.716636351818508</v>
      </c>
      <c r="M30" s="64">
        <f>IF(VLOOKUP($B$8,'taux d''occupation des fauteuils'!$A:$CA,M$19,0)=0,"-",VLOOKUP($B$8,'taux d''occupation des fauteuils'!$A:$CA,M$19,0))</f>
        <v>15.464742554820251</v>
      </c>
      <c r="N30" s="64">
        <f>IF(VLOOKUP($B$8,'taux d''occupation des fauteuils'!$A:$CA,N$19,0)=0,"-",VLOOKUP($B$8,'taux d''occupation des fauteuils'!$A:$CA,N$19,0))</f>
        <v>18.02567878862753</v>
      </c>
      <c r="O30" s="64">
        <f>IF(VLOOKUP($B$8,'taux d''occupation des fauteuils'!$A:$CA,O$19,0)=0,"-",VLOOKUP($B$8,'taux d''occupation des fauteuils'!$A:$CA,O$19,0))</f>
        <v>16.237558368356119</v>
      </c>
      <c r="P30" s="64">
        <f>IF(VLOOKUP($B$8,'taux d''occupation des fauteuils'!$A:$CA,P$19,0)=0,"-",VLOOKUP($B$8,'taux d''occupation des fauteuils'!$A:$CA,P$19,0))</f>
        <v>17.036812954007011</v>
      </c>
      <c r="Q30" s="64">
        <f>IF(VLOOKUP($B$8,'taux d''occupation des fauteuils'!$A:$CA,Q$19,0)=0,"-",VLOOKUP($B$8,'taux d''occupation des fauteuils'!$A:$CA,Q$19,0))</f>
        <v>15.90755758103791</v>
      </c>
      <c r="R30" s="64">
        <f>IF(VLOOKUP($B$8,'taux d''occupation des fauteuils'!$A:$CA,R$19,0)=0,"-",VLOOKUP($B$8,'taux d''occupation des fauteuils'!$A:$CA,R$19,0))</f>
        <v>15.842709534529945</v>
      </c>
      <c r="S30" s="64">
        <f>IF(VLOOKUP($B$8,'taux d''occupation des fauteuils'!$A:$CA,S$19,0)=0,"-",VLOOKUP($B$8,'taux d''occupation des fauteuils'!$A:$CA,S$19,0))</f>
        <v>16.224753587803203</v>
      </c>
      <c r="T30" s="64">
        <f>IF(VLOOKUP($B$8,'taux d''occupation des fauteuils'!$A:$CA,T$19,0)=0,"-",VLOOKUP($B$8,'taux d''occupation des fauteuils'!$A:$CA,T$19,0))</f>
        <v>16.760720419019087</v>
      </c>
      <c r="U30" s="64">
        <f>IF(VLOOKUP($B$8,'taux d''occupation des fauteuils'!$A:$CA,U$19,0)=0,"-",VLOOKUP($B$8,'taux d''occupation des fauteuils'!$A:$CA,U$19,0))</f>
        <v>16.587262875454119</v>
      </c>
      <c r="V30" s="64">
        <f>IF(VLOOKUP($B$8,'taux d''occupation des fauteuils'!$A:$CA,V$19,0)=0,"-",VLOOKUP($B$8,'taux d''occupation des fauteuils'!$A:$CA,V$19,0))</f>
        <v>14.914163246277552</v>
      </c>
      <c r="W30" s="64">
        <f>IF(VLOOKUP($B$8,'taux d''occupation des fauteuils'!$A:$CA,W$19,0)=0,"-",VLOOKUP($B$8,'taux d''occupation des fauteuils'!$A:$CA,W$19,0))</f>
        <v>14.324885953672617</v>
      </c>
      <c r="X30" s="64">
        <f>IF(VLOOKUP($B$8,'taux d''occupation des fauteuils'!$A:$CA,X$19,0)=0,"-",VLOOKUP($B$8,'taux d''occupation des fauteuils'!$A:$CA,X$19,0))</f>
        <v>14.633635620776461</v>
      </c>
      <c r="Y30" s="64">
        <f>IF(VLOOKUP($B$8,'taux d''occupation des fauteuils'!$A:$CA,Y$19,0)=0,"-",VLOOKUP($B$8,'taux d''occupation des fauteuils'!$A:$CA,Y$19,0))</f>
        <v>14.192503211792626</v>
      </c>
      <c r="Z30" s="64">
        <f>IF(VLOOKUP($B$8,'taux d''occupation des fauteuils'!$A:$CA,Z$19,0)=0,"-",VLOOKUP($B$8,'taux d''occupation des fauteuils'!$A:$CA,Z$19,0))</f>
        <v>14.614772691884481</v>
      </c>
      <c r="AA30" s="64">
        <f>IF(VLOOKUP($B$8,'taux d''occupation des fauteuils'!$A:$CA,AA$19,0)=0,"-",VLOOKUP($B$8,'taux d''occupation des fauteuils'!$A:$CA,AA$19,0))</f>
        <v>13.73223270107197</v>
      </c>
      <c r="AB30" s="64">
        <f>IF(VLOOKUP($B$8,'taux d''occupation des fauteuils'!$A:$CA,AB$19,0)=0,"-",VLOOKUP($B$8,'taux d''occupation des fauteuils'!$A:$CA,AB$19,0))</f>
        <v>12.860440593129663</v>
      </c>
      <c r="AC30" s="64">
        <f>IF(VLOOKUP($B$8,'taux d''occupation des fauteuils'!$A:$CA,AC$19,0)=0,"-",VLOOKUP($B$8,'taux d''occupation des fauteuils'!$A:$CA,AC$19,0))</f>
        <v>13.606190173407976</v>
      </c>
      <c r="AD30" s="64">
        <f>IF(VLOOKUP($B$8,'taux d''occupation des fauteuils'!$A:$CA,AD$19,0)=0,"-",VLOOKUP($B$8,'taux d''occupation des fauteuils'!$A:$CA,AD$19,0))</f>
        <v>8.3838294816034189</v>
      </c>
      <c r="AE30" s="64">
        <f>IF(VLOOKUP($B$8,'taux d''occupation des fauteuils'!$A:$CA,AE$19,0)=0,"-",VLOOKUP($B$8,'taux d''occupation des fauteuils'!$A:$CA,AE$19,0))</f>
        <v>10.750273278441536</v>
      </c>
      <c r="AF30" s="64">
        <f>IF(VLOOKUP($B$8,'taux d''occupation des fauteuils'!$A:$CA,AF$19,0)=0,"-",VLOOKUP($B$8,'taux d''occupation des fauteuils'!$A:$CA,AF$19,0))</f>
        <v>10.276270646636474</v>
      </c>
      <c r="AG30" s="64">
        <f>IF(VLOOKUP($B$8,'taux d''occupation des fauteuils'!$A:$CA,AG$19,0)=0,"-",VLOOKUP($B$8,'taux d''occupation des fauteuils'!$A:$CA,AG$19,0))</f>
        <v>12.618590187950145</v>
      </c>
      <c r="AH30" s="46"/>
      <c r="AI30" s="46"/>
      <c r="AJ30" s="46"/>
      <c r="AK30" s="46"/>
      <c r="AL30" s="46"/>
      <c r="AM30" s="46"/>
      <c r="AN30" s="46"/>
      <c r="AO30" s="46"/>
      <c r="AP30" s="46"/>
      <c r="AQ30" s="46"/>
      <c r="AR30" s="46"/>
      <c r="AS30" s="46"/>
      <c r="AT30" s="46"/>
      <c r="AU30" s="46"/>
      <c r="AV30" s="46"/>
      <c r="AW30" s="46"/>
      <c r="AX30" s="46"/>
    </row>
    <row r="31" spans="1:50" x14ac:dyDescent="0.2">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row>
    <row r="32" spans="1:50" x14ac:dyDescent="0.2">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row>
    <row r="33" spans="1:50" x14ac:dyDescent="0.2">
      <c r="A33" s="45" t="s">
        <v>67</v>
      </c>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row>
    <row r="34" spans="1:50" ht="3" customHeight="1" x14ac:dyDescent="0.2">
      <c r="B34" s="66">
        <v>2</v>
      </c>
      <c r="C34" s="66">
        <v>3</v>
      </c>
      <c r="D34" s="66">
        <v>4</v>
      </c>
      <c r="E34" s="66">
        <v>5</v>
      </c>
      <c r="F34" s="66">
        <v>6</v>
      </c>
      <c r="G34" s="66">
        <v>7</v>
      </c>
      <c r="H34" s="66">
        <v>8</v>
      </c>
      <c r="I34" s="66">
        <v>9</v>
      </c>
      <c r="J34" s="66">
        <v>10</v>
      </c>
      <c r="K34" s="66">
        <v>11</v>
      </c>
      <c r="L34" s="66">
        <v>12</v>
      </c>
      <c r="M34" s="66">
        <v>13</v>
      </c>
      <c r="N34" s="66">
        <v>14</v>
      </c>
      <c r="O34" s="66">
        <v>15</v>
      </c>
      <c r="P34" s="66">
        <v>16</v>
      </c>
      <c r="Q34" s="66">
        <v>17</v>
      </c>
      <c r="R34" s="66">
        <v>18</v>
      </c>
      <c r="S34" s="66">
        <v>19</v>
      </c>
      <c r="T34" s="66">
        <v>20</v>
      </c>
      <c r="U34" s="66">
        <v>21</v>
      </c>
      <c r="V34" s="66">
        <v>22</v>
      </c>
      <c r="W34" s="66">
        <v>23</v>
      </c>
      <c r="X34" s="60"/>
      <c r="Y34" s="60"/>
      <c r="Z34" s="60"/>
      <c r="AA34" s="60"/>
    </row>
    <row r="35" spans="1:50" s="45" customFormat="1" x14ac:dyDescent="0.2">
      <c r="A35" s="48"/>
      <c r="B35" s="61">
        <v>2002</v>
      </c>
      <c r="C35" s="61">
        <v>2003</v>
      </c>
      <c r="D35" s="61">
        <v>2004</v>
      </c>
      <c r="E35" s="61">
        <v>2005</v>
      </c>
      <c r="F35" s="61">
        <v>2006</v>
      </c>
      <c r="G35" s="61">
        <v>2007</v>
      </c>
      <c r="H35" s="61">
        <v>2008</v>
      </c>
      <c r="I35" s="61">
        <v>2009</v>
      </c>
      <c r="J35" s="61">
        <v>2010</v>
      </c>
      <c r="K35" s="61">
        <v>2011</v>
      </c>
      <c r="L35" s="61">
        <v>2012</v>
      </c>
      <c r="M35" s="61">
        <v>2013</v>
      </c>
      <c r="N35" s="61">
        <v>2014</v>
      </c>
      <c r="O35" s="61">
        <v>2015</v>
      </c>
      <c r="P35" s="61">
        <v>2016</v>
      </c>
      <c r="Q35" s="61">
        <v>2017</v>
      </c>
      <c r="R35" s="61">
        <v>2018</v>
      </c>
      <c r="S35" s="61">
        <v>2019</v>
      </c>
      <c r="T35" s="61">
        <v>2020</v>
      </c>
      <c r="U35" s="61">
        <v>2021</v>
      </c>
      <c r="V35" s="61">
        <v>2022</v>
      </c>
      <c r="W35" s="61">
        <v>2023</v>
      </c>
      <c r="X35" s="62"/>
      <c r="Y35" s="62"/>
      <c r="Z35" s="62"/>
      <c r="AA35" s="62"/>
    </row>
    <row r="36" spans="1:50" x14ac:dyDescent="0.2">
      <c r="A36" s="46" t="s">
        <v>63</v>
      </c>
      <c r="B36" s="4">
        <f>IF(VLOOKUP($B$8,étabAE!$A:$BA,B$34,0)=0,"-",VLOOKUP($B$8,étabAE!$A:$BA,B$34,0))</f>
        <v>143</v>
      </c>
      <c r="C36" s="4">
        <f>IF(VLOOKUP($B$8,étabAE!$A:$BA,C$34,0)=0,"-",VLOOKUP($B$8,étabAE!$A:$BA,C$34,0))</f>
        <v>146</v>
      </c>
      <c r="D36" s="4">
        <f>IF(VLOOKUP($B$8,étabAE!$A:$BA,D$34,0)=0,"-",VLOOKUP($B$8,étabAE!$A:$BA,D$34,0))</f>
        <v>154</v>
      </c>
      <c r="E36" s="4">
        <f>IF(VLOOKUP($B$8,étabAE!$A:$BA,E$34,0)=0,"-",VLOOKUP($B$8,étabAE!$A:$BA,E$34,0))</f>
        <v>152</v>
      </c>
      <c r="F36" s="4">
        <f>IF(VLOOKUP($B$8,étabAE!$A:$BA,F$34,0)=0,"-",VLOOKUP($B$8,étabAE!$A:$BA,F$34,0))</f>
        <v>154</v>
      </c>
      <c r="G36" s="4">
        <f>IF(VLOOKUP($B$8,étabAE!$A:$BA,G$34,0)=0,"-",VLOOKUP($B$8,étabAE!$A:$BA,G$34,0))</f>
        <v>157</v>
      </c>
      <c r="H36" s="4">
        <f>IF(VLOOKUP($B$8,étabAE!$A:$BA,H$34,0)=0,"-",VLOOKUP($B$8,étabAE!$A:$BA,H$34,0))</f>
        <v>161</v>
      </c>
      <c r="I36" s="4">
        <f>IF(VLOOKUP($B$8,étabAE!$A:$BA,I$34,0)=0,"-",VLOOKUP($B$8,étabAE!$A:$BA,I$34,0))</f>
        <v>156</v>
      </c>
      <c r="J36" s="4">
        <f>IF(VLOOKUP($B$8,étabAE!$A:$BA,J$34,0)=0,"-",VLOOKUP($B$8,étabAE!$A:$BA,J$34,0))</f>
        <v>165</v>
      </c>
      <c r="K36" s="4">
        <f>IF(VLOOKUP($B$8,étabAE!$A:$BA,K$34,0)=0,"-",VLOOKUP($B$8,étabAE!$A:$BA,K$34,0))</f>
        <v>166</v>
      </c>
      <c r="L36" s="4">
        <f>IF(VLOOKUP($B$8,étabAE!$A:$BA,L$34,0)=0,"-",VLOOKUP($B$8,étabAE!$A:$BA,L$34,0))</f>
        <v>163</v>
      </c>
      <c r="M36" s="4">
        <f>IF(VLOOKUP($B$8,étabAE!$A:$BA,M$34,0)=0,"-",VLOOKUP($B$8,étabAE!$A:$BA,M$34,0))</f>
        <v>166</v>
      </c>
      <c r="N36" s="4">
        <f>IF(VLOOKUP($B$8,étabAE!$A:$BA,N$34,0)=0,"-",VLOOKUP($B$8,étabAE!$A:$BA,N$34,0))</f>
        <v>168</v>
      </c>
      <c r="O36" s="4">
        <f>IF(VLOOKUP($B$8,étabAE!$A:$BA,O$34,0)=0,"-",VLOOKUP($B$8,étabAE!$A:$BA,O$34,0))</f>
        <v>177</v>
      </c>
      <c r="P36" s="4">
        <f>IF(VLOOKUP($B$8,étabAE!$A:$BA,P$34,0)=0,"-",VLOOKUP($B$8,étabAE!$A:$BA,P$34,0))</f>
        <v>172</v>
      </c>
      <c r="Q36" s="4">
        <f>IF(VLOOKUP($B$8,étabAE!$A:$BA,Q$34,0)=0,"-",VLOOKUP($B$8,étabAE!$A:$BA,Q$34,0))</f>
        <v>177</v>
      </c>
      <c r="R36" s="4">
        <f>IF(VLOOKUP($B$8,étabAE!$A:$BA,R$34,0)=0,"-",VLOOKUP($B$8,étabAE!$A:$BA,R$34,0))</f>
        <v>181</v>
      </c>
      <c r="S36" s="4">
        <f>IF(VLOOKUP($B$8,étabAE!$A:$BA,S$34,0)=0,"-",VLOOKUP($B$8,étabAE!$A:$BA,S$34,0))</f>
        <v>185</v>
      </c>
      <c r="T36" s="4">
        <f>IF(VLOOKUP($B$8,étabAE!$A:$BA,T$34,0)=0,"-",VLOOKUP($B$8,étabAE!$A:$BA,T$34,0))</f>
        <v>186</v>
      </c>
      <c r="U36" s="4">
        <f>IF(VLOOKUP($B$8,étabAE!$A:$BA,U$34,0)=0,"-",VLOOKUP($B$8,étabAE!$A:$BA,U$34,0))</f>
        <v>189</v>
      </c>
      <c r="V36" s="4">
        <f>IF(VLOOKUP($B$8,étabAE!$A:$BA,V$34,0)=0,"-",VLOOKUP($B$8,étabAE!$A:$BA,V$34,0))</f>
        <v>180</v>
      </c>
      <c r="W36" s="4">
        <f>IF(VLOOKUP($B$8,étabAE!$A:$BA,W$34,0)=0,"-",VLOOKUP($B$8,étabAE!$A:$BA,W$34,0))</f>
        <v>185</v>
      </c>
      <c r="X36" s="4"/>
      <c r="Y36" s="4"/>
      <c r="Z36" s="4"/>
      <c r="AA36" s="4"/>
      <c r="AB36" s="46"/>
      <c r="AC36" s="46"/>
      <c r="AD36" s="46"/>
      <c r="AE36" s="46"/>
      <c r="AF36" s="46"/>
      <c r="AG36" s="46"/>
      <c r="AH36" s="46"/>
      <c r="AI36" s="46"/>
      <c r="AJ36" s="46"/>
      <c r="AK36" s="46"/>
      <c r="AL36" s="46"/>
      <c r="AM36" s="46"/>
      <c r="AN36" s="46"/>
      <c r="AO36" s="46"/>
      <c r="AP36" s="46"/>
      <c r="AQ36" s="46"/>
      <c r="AR36" s="46"/>
      <c r="AS36" s="46"/>
      <c r="AT36" s="46"/>
      <c r="AU36" s="46"/>
      <c r="AV36" s="46"/>
      <c r="AW36" s="46"/>
      <c r="AX36" s="46"/>
    </row>
    <row r="37" spans="1:50" x14ac:dyDescent="0.2">
      <c r="A37" s="46" t="s">
        <v>57</v>
      </c>
      <c r="B37" s="4">
        <f>IF(VLOOKUP($B$8,écransAE!$A:$BA,B$34,0)=0,"-",VLOOKUP($B$8,écransAE!$A:$BA,B$34,0))</f>
        <v>262</v>
      </c>
      <c r="C37" s="4">
        <f>IF(VLOOKUP($B$8,écransAE!$A:$BA,C$34,0)=0,"-",VLOOKUP($B$8,écransAE!$A:$BA,C$34,0))</f>
        <v>264</v>
      </c>
      <c r="D37" s="4">
        <f>IF(VLOOKUP($B$8,écransAE!$A:$BA,D$34,0)=0,"-",VLOOKUP($B$8,écransAE!$A:$BA,D$34,0))</f>
        <v>289</v>
      </c>
      <c r="E37" s="4">
        <f>IF(VLOOKUP($B$8,écransAE!$A:$BA,E$34,0)=0,"-",VLOOKUP($B$8,écransAE!$A:$BA,E$34,0))</f>
        <v>286</v>
      </c>
      <c r="F37" s="4">
        <f>IF(VLOOKUP($B$8,écransAE!$A:$BA,F$34,0)=0,"-",VLOOKUP($B$8,écransAE!$A:$BA,F$34,0))</f>
        <v>292</v>
      </c>
      <c r="G37" s="4">
        <f>IF(VLOOKUP($B$8,écransAE!$A:$BA,G$34,0)=0,"-",VLOOKUP($B$8,écransAE!$A:$BA,G$34,0))</f>
        <v>296</v>
      </c>
      <c r="H37" s="4">
        <f>IF(VLOOKUP($B$8,écransAE!$A:$BA,H$34,0)=0,"-",VLOOKUP($B$8,écransAE!$A:$BA,H$34,0))</f>
        <v>290</v>
      </c>
      <c r="I37" s="4">
        <f>IF(VLOOKUP($B$8,écransAE!$A:$BA,I$34,0)=0,"-",VLOOKUP($B$8,écransAE!$A:$BA,I$34,0))</f>
        <v>297</v>
      </c>
      <c r="J37" s="4">
        <f>IF(VLOOKUP($B$8,écransAE!$A:$BA,J$34,0)=0,"-",VLOOKUP($B$8,écransAE!$A:$BA,J$34,0))</f>
        <v>297</v>
      </c>
      <c r="K37" s="4">
        <f>IF(VLOOKUP($B$8,écransAE!$A:$BA,K$34,0)=0,"-",VLOOKUP($B$8,écransAE!$A:$BA,K$34,0))</f>
        <v>304</v>
      </c>
      <c r="L37" s="4">
        <f>IF(VLOOKUP($B$8,écransAE!$A:$BA,L$34,0)=0,"-",VLOOKUP($B$8,écransAE!$A:$BA,L$34,0))</f>
        <v>294</v>
      </c>
      <c r="M37" s="4">
        <f>IF(VLOOKUP($B$8,écransAE!$A:$BA,M$34,0)=0,"-",VLOOKUP($B$8,écransAE!$A:$BA,M$34,0))</f>
        <v>305</v>
      </c>
      <c r="N37" s="4">
        <f>IF(VLOOKUP($B$8,écransAE!$A:$BA,N$34,0)=0,"-",VLOOKUP($B$8,écransAE!$A:$BA,N$34,0))</f>
        <v>319</v>
      </c>
      <c r="O37" s="4">
        <f>IF(VLOOKUP($B$8,écransAE!$A:$BA,O$34,0)=0,"-",VLOOKUP($B$8,écransAE!$A:$BA,O$34,0))</f>
        <v>341</v>
      </c>
      <c r="P37" s="4">
        <f>IF(VLOOKUP($B$8,écransAE!$A:$BA,P$34,0)=0,"-",VLOOKUP($B$8,écransAE!$A:$BA,P$34,0))</f>
        <v>323</v>
      </c>
      <c r="Q37" s="4">
        <f>IF(VLOOKUP($B$8,écransAE!$A:$BA,Q$34,0)=0,"-",VLOOKUP($B$8,écransAE!$A:$BA,Q$34,0))</f>
        <v>356</v>
      </c>
      <c r="R37" s="4">
        <f>IF(VLOOKUP($B$8,écransAE!$A:$BA,R$34,0)=0,"-",VLOOKUP($B$8,écransAE!$A:$BA,R$34,0))</f>
        <v>374</v>
      </c>
      <c r="S37" s="4">
        <f>IF(VLOOKUP($B$8,écransAE!$A:$BA,S$34,0)=0,"-",VLOOKUP($B$8,écransAE!$A:$BA,S$34,0))</f>
        <v>391</v>
      </c>
      <c r="T37" s="4">
        <f>IF(VLOOKUP($B$8,écransAE!$A:$BA,T$34,0)=0,"-",VLOOKUP($B$8,écransAE!$A:$BA,T$34,0))</f>
        <v>393</v>
      </c>
      <c r="U37" s="4">
        <f>IF(VLOOKUP($B$8,écransAE!$A:$BA,U$34,0)=0,"-",VLOOKUP($B$8,écransAE!$A:$BA,U$34,0))</f>
        <v>400</v>
      </c>
      <c r="V37" s="4">
        <f>IF(VLOOKUP($B$8,écransAE!$A:$BA,V$34,0)=0,"-",VLOOKUP($B$8,écransAE!$A:$BA,V$34,0))</f>
        <v>397</v>
      </c>
      <c r="W37" s="4">
        <f>IF(VLOOKUP($B$8,écransAE!$A:$BA,W$34,0)=0,"-",VLOOKUP($B$8,écransAE!$A:$BA,W$34,0))</f>
        <v>406</v>
      </c>
      <c r="X37" s="4"/>
      <c r="Y37" s="4"/>
      <c r="Z37" s="4"/>
      <c r="AA37" s="4"/>
      <c r="AB37" s="46"/>
      <c r="AC37" s="46"/>
      <c r="AD37" s="46"/>
      <c r="AE37" s="46"/>
      <c r="AF37" s="46"/>
      <c r="AG37" s="46"/>
      <c r="AH37" s="46"/>
      <c r="AI37" s="46"/>
      <c r="AJ37" s="46"/>
      <c r="AK37" s="46"/>
      <c r="AL37" s="46"/>
      <c r="AM37" s="46"/>
      <c r="AN37" s="46"/>
      <c r="AO37" s="46"/>
      <c r="AP37" s="46"/>
      <c r="AQ37" s="46"/>
      <c r="AR37" s="46"/>
      <c r="AS37" s="46"/>
      <c r="AT37" s="46"/>
      <c r="AU37" s="46"/>
      <c r="AV37" s="46"/>
      <c r="AW37" s="46"/>
      <c r="AX37" s="46"/>
    </row>
    <row r="38" spans="1:50" x14ac:dyDescent="0.2">
      <c r="A38" s="46" t="s">
        <v>58</v>
      </c>
      <c r="B38" s="57">
        <f>IF(VLOOKUP($B$8,fauteuilsAE!$A:$BB,B$34,0)=0,"-",VLOOKUP($B$8,fauteuilsAE!$A:$BB,B$34,0))</f>
        <v>43983</v>
      </c>
      <c r="C38" s="57">
        <f>IF(VLOOKUP($B$8,fauteuilsAE!$A:$BB,C$34,0)=0,"-",VLOOKUP($B$8,fauteuilsAE!$A:$BB,C$34,0))</f>
        <v>45223</v>
      </c>
      <c r="D38" s="57">
        <f>IF(VLOOKUP($B$8,fauteuilsAE!$A:$BB,D$34,0)=0,"-",VLOOKUP($B$8,fauteuilsAE!$A:$BB,D$34,0))</f>
        <v>49000</v>
      </c>
      <c r="E38" s="57">
        <f>IF(VLOOKUP($B$8,fauteuilsAE!$A:$BB,E$34,0)=0,"-",VLOOKUP($B$8,fauteuilsAE!$A:$BB,E$34,0))</f>
        <v>45947</v>
      </c>
      <c r="F38" s="57">
        <f>IF(VLOOKUP($B$8,fauteuilsAE!$A:$BB,F$34,0)=0,"-",VLOOKUP($B$8,fauteuilsAE!$A:$BB,F$34,0))</f>
        <v>48347</v>
      </c>
      <c r="G38" s="57">
        <f>IF(VLOOKUP($B$8,fauteuilsAE!$A:$BB,G$34,0)=0,"-",VLOOKUP($B$8,fauteuilsAE!$A:$BB,G$34,0))</f>
        <v>48032</v>
      </c>
      <c r="H38" s="57">
        <f>IF(VLOOKUP($B$8,fauteuilsAE!$A:$BB,H$34,0)=0,"-",VLOOKUP($B$8,fauteuilsAE!$A:$BB,H$34,0))</f>
        <v>47336</v>
      </c>
      <c r="I38" s="57">
        <f>IF(VLOOKUP($B$8,fauteuilsAE!$A:$BB,I$34,0)=0,"-",VLOOKUP($B$8,fauteuilsAE!$A:$BB,I$34,0))</f>
        <v>48498</v>
      </c>
      <c r="J38" s="57">
        <f>IF(VLOOKUP($B$8,fauteuilsAE!$A:$BB,J$34,0)=0,"-",VLOOKUP($B$8,fauteuilsAE!$A:$BB,J$34,0))</f>
        <v>48092</v>
      </c>
      <c r="K38" s="57">
        <f>IF(VLOOKUP($B$8,fauteuilsAE!$A:$BB,K$34,0)=0,"-",VLOOKUP($B$8,fauteuilsAE!$A:$BB,K$34,0))</f>
        <v>49606</v>
      </c>
      <c r="L38" s="57">
        <f>IF(VLOOKUP($B$8,fauteuilsAE!$A:$BB,L$34,0)=0,"-",VLOOKUP($B$8,fauteuilsAE!$A:$BB,L$34,0))</f>
        <v>46849</v>
      </c>
      <c r="M38" s="57">
        <f>IF(VLOOKUP($B$8,fauteuilsAE!$A:$BB,M$34,0)=0,"-",VLOOKUP($B$8,fauteuilsAE!$A:$BB,M$34,0))</f>
        <v>49170</v>
      </c>
      <c r="N38" s="57">
        <f>IF(VLOOKUP($B$8,fauteuilsAE!$A:$BB,N$34,0)=0,"-",VLOOKUP($B$8,fauteuilsAE!$A:$BB,N$34,0))</f>
        <v>51177</v>
      </c>
      <c r="O38" s="57">
        <f>IF(VLOOKUP($B$8,fauteuilsAE!$A:$BB,O$34,0)=0,"-",VLOOKUP($B$8,fauteuilsAE!$A:$BB,O$34,0))</f>
        <v>54430</v>
      </c>
      <c r="P38" s="57">
        <f>IF(VLOOKUP($B$8,fauteuilsAE!$A:$BB,P$34,0)=0,"-",VLOOKUP($B$8,fauteuilsAE!$A:$BB,P$34,0))</f>
        <v>51779</v>
      </c>
      <c r="Q38" s="57">
        <f>IF(VLOOKUP($B$8,fauteuilsAE!$A:$BB,Q$34,0)=0,"-",VLOOKUP($B$8,fauteuilsAE!$A:$BB,Q$34,0))</f>
        <v>55560</v>
      </c>
      <c r="R38" s="57">
        <f>IF(VLOOKUP($B$8,fauteuilsAE!$A:$BB,R$34,0)=0,"-",VLOOKUP($B$8,fauteuilsAE!$A:$BB,R$34,0))</f>
        <v>58177</v>
      </c>
      <c r="S38" s="57">
        <f>IF(VLOOKUP($B$8,fauteuilsAE!$A:$BB,S$34,0)=0,"-",VLOOKUP($B$8,fauteuilsAE!$A:$BB,S$34,0))</f>
        <v>61122</v>
      </c>
      <c r="T38" s="57">
        <f>IF(VLOOKUP($B$8,fauteuilsAE!$A:$BB,T$34,0)=0,"-",VLOOKUP($B$8,fauteuilsAE!$A:$BB,T$34,0))</f>
        <v>61542</v>
      </c>
      <c r="U38" s="57">
        <f>IF(VLOOKUP($B$8,fauteuilsAE!$A:$BB,U$34,0)=0,"-",VLOOKUP($B$8,fauteuilsAE!$A:$BB,U$34,0))</f>
        <v>62361</v>
      </c>
      <c r="V38" s="57">
        <f>IF(VLOOKUP($B$8,fauteuilsAE!$A:$BB,V$34,0)=0,"-",VLOOKUP($B$8,fauteuilsAE!$A:$BB,V$34,0))</f>
        <v>61568</v>
      </c>
      <c r="W38" s="57">
        <f>IF(VLOOKUP($B$8,fauteuilsAE!$A:$BB,W$34,0)=0,"-",VLOOKUP($B$8,fauteuilsAE!$A:$BB,W$34,0))</f>
        <v>63176</v>
      </c>
      <c r="X38" s="4"/>
      <c r="Y38" s="4"/>
      <c r="Z38" s="4"/>
      <c r="AA38" s="4"/>
      <c r="AB38" s="46"/>
      <c r="AC38" s="46"/>
      <c r="AD38" s="46"/>
      <c r="AE38" s="46"/>
      <c r="AF38" s="46"/>
      <c r="AG38" s="46"/>
      <c r="AH38" s="46"/>
      <c r="AI38" s="46"/>
      <c r="AJ38" s="46"/>
      <c r="AK38" s="46"/>
      <c r="AL38" s="46"/>
      <c r="AM38" s="46"/>
      <c r="AN38" s="46"/>
      <c r="AO38" s="46"/>
      <c r="AP38" s="46"/>
      <c r="AQ38" s="46"/>
      <c r="AR38" s="46"/>
      <c r="AS38" s="46"/>
      <c r="AT38" s="46"/>
      <c r="AU38" s="46"/>
      <c r="AV38" s="46"/>
      <c r="AW38" s="46"/>
      <c r="AX38" s="46"/>
    </row>
    <row r="39" spans="1:50" x14ac:dyDescent="0.2">
      <c r="A39" s="46" t="s">
        <v>65</v>
      </c>
      <c r="B39" s="63">
        <f>IF(VLOOKUP($B$8,'séances AE'!$A:$BB,B$34,0)=0,"-",VLOOKUP($B$8,'séances AE'!$A:$BB,B$34,0))</f>
        <v>219005</v>
      </c>
      <c r="C39" s="63">
        <f>IF(VLOOKUP($B$8,'séances AE'!$A:$BB,C$34,0)=0,"-",VLOOKUP($B$8,'séances AE'!$A:$BB,C$34,0))</f>
        <v>218719</v>
      </c>
      <c r="D39" s="63">
        <f>IF(VLOOKUP($B$8,'séances AE'!$A:$BB,D$34,0)=0,"-",VLOOKUP($B$8,'séances AE'!$A:$BB,D$34,0))</f>
        <v>245659</v>
      </c>
      <c r="E39" s="63">
        <f>IF(VLOOKUP($B$8,'séances AE'!$A:$BB,E$34,0)=0,"-",VLOOKUP($B$8,'séances AE'!$A:$BB,E$34,0))</f>
        <v>245246</v>
      </c>
      <c r="F39" s="63">
        <f>IF(VLOOKUP($B$8,'séances AE'!$A:$BB,F$34,0)=0,"-",VLOOKUP($B$8,'séances AE'!$A:$BB,F$34,0))</f>
        <v>255577</v>
      </c>
      <c r="G39" s="63">
        <f>IF(VLOOKUP($B$8,'séances AE'!$A:$BB,G$34,0)=0,"-",VLOOKUP($B$8,'séances AE'!$A:$BB,G$34,0))</f>
        <v>255434</v>
      </c>
      <c r="H39" s="63">
        <f>IF(VLOOKUP($B$8,'séances AE'!$A:$BB,H$34,0)=0,"-",VLOOKUP($B$8,'séances AE'!$A:$BB,H$34,0))</f>
        <v>245404</v>
      </c>
      <c r="I39" s="63">
        <f>IF(VLOOKUP($B$8,'séances AE'!$A:$BB,I$34,0)=0,"-",VLOOKUP($B$8,'séances AE'!$A:$BB,I$34,0))</f>
        <v>265398</v>
      </c>
      <c r="J39" s="63">
        <f>IF(VLOOKUP($B$8,'séances AE'!$A:$BB,J$34,0)=0,"-",VLOOKUP($B$8,'séances AE'!$A:$BB,J$34,0))</f>
        <v>258337</v>
      </c>
      <c r="K39" s="63">
        <f>IF(VLOOKUP($B$8,'séances AE'!$A:$BB,K$34,0)=0,"-",VLOOKUP($B$8,'séances AE'!$A:$BB,K$34,0))</f>
        <v>260835</v>
      </c>
      <c r="L39" s="63">
        <f>IF(VLOOKUP($B$8,'séances AE'!$A:$BB,L$34,0)=0,"-",VLOOKUP($B$8,'séances AE'!$A:$BB,L$34,0))</f>
        <v>258269</v>
      </c>
      <c r="M39" s="63">
        <f>IF(VLOOKUP($B$8,'séances AE'!$A:$BB,M$34,0)=0,"-",VLOOKUP($B$8,'séances AE'!$A:$BB,M$34,0))</f>
        <v>277241</v>
      </c>
      <c r="N39" s="63">
        <f>IF(VLOOKUP($B$8,'séances AE'!$A:$BB,N$34,0)=0,"-",VLOOKUP($B$8,'séances AE'!$A:$BB,N$34,0))</f>
        <v>313495</v>
      </c>
      <c r="O39" s="63">
        <f>IF(VLOOKUP($B$8,'séances AE'!$A:$BB,O$34,0)=0,"-",VLOOKUP($B$8,'séances AE'!$A:$BB,O$34,0))</f>
        <v>341665</v>
      </c>
      <c r="P39" s="63">
        <f>IF(VLOOKUP($B$8,'séances AE'!$A:$BB,P$34,0)=0,"-",VLOOKUP($B$8,'séances AE'!$A:$BB,P$34,0))</f>
        <v>321328</v>
      </c>
      <c r="Q39" s="63">
        <f>IF(VLOOKUP($B$8,'séances AE'!$A:$BB,Q$34,0)=0,"-",VLOOKUP($B$8,'séances AE'!$A:$BB,Q$34,0))</f>
        <v>366783</v>
      </c>
      <c r="R39" s="63">
        <f>IF(VLOOKUP($B$8,'séances AE'!$A:$BB,R$34,0)=0,"-",VLOOKUP($B$8,'séances AE'!$A:$BB,R$34,0))</f>
        <v>407745</v>
      </c>
      <c r="S39" s="63">
        <f>IF(VLOOKUP($B$8,'séances AE'!$A:$BB,S$34,0)=0,"-",VLOOKUP($B$8,'séances AE'!$A:$BB,S$34,0))</f>
        <v>441535</v>
      </c>
      <c r="T39" s="63">
        <f>IF(VLOOKUP($B$8,'séances AE'!$A:$BB,T$34,0)=0,"-",VLOOKUP($B$8,'séances AE'!$A:$BB,T$34,0))</f>
        <v>221969</v>
      </c>
      <c r="U39" s="63">
        <f>IF(VLOOKUP($B$8,'séances AE'!$A:$BB,U$34,0)=0,"-",VLOOKUP($B$8,'séances AE'!$A:$BB,U$34,0))</f>
        <v>268209</v>
      </c>
      <c r="V39" s="63">
        <f>IF(VLOOKUP($B$8,'séances AE'!$A:$BB,V$34,0)=0,"-",VLOOKUP($B$8,'séances AE'!$A:$BB,V$34,0))</f>
        <v>446477</v>
      </c>
      <c r="W39" s="63">
        <f>IF(VLOOKUP($B$8,'séances AE'!$A:$BB,W$34,0)=0,"-",VLOOKUP($B$8,'séances AE'!$A:$BB,W$34,0))</f>
        <v>438720</v>
      </c>
      <c r="X39" s="4"/>
      <c r="Y39" s="4"/>
      <c r="Z39" s="4"/>
      <c r="AA39" s="4"/>
      <c r="AB39" s="46"/>
      <c r="AC39" s="46"/>
      <c r="AD39" s="46"/>
      <c r="AE39" s="46"/>
      <c r="AF39" s="46"/>
      <c r="AG39" s="46"/>
      <c r="AH39" s="46"/>
      <c r="AI39" s="46"/>
      <c r="AJ39" s="46"/>
      <c r="AK39" s="46"/>
      <c r="AL39" s="46"/>
      <c r="AM39" s="46"/>
      <c r="AN39" s="46"/>
      <c r="AO39" s="46"/>
      <c r="AP39" s="46"/>
      <c r="AQ39" s="46"/>
      <c r="AR39" s="46"/>
      <c r="AS39" s="46"/>
      <c r="AT39" s="46"/>
      <c r="AU39" s="46"/>
      <c r="AV39" s="46"/>
      <c r="AW39" s="46"/>
      <c r="AX39" s="46"/>
    </row>
    <row r="40" spans="1:50" x14ac:dyDescent="0.2">
      <c r="A40" s="46" t="s">
        <v>59</v>
      </c>
      <c r="B40" s="58">
        <f>IF(VLOOKUP($B$8,entréesAE!$A:$BB,B$34,0)=0,"-",VLOOKUP($B$8,entréesAE!$A:$BB,B$34,0))</f>
        <v>6212021</v>
      </c>
      <c r="C40" s="58">
        <f>IF(VLOOKUP($B$8,entréesAE!$A:$BB,C$34,0)=0,"-",VLOOKUP($B$8,entréesAE!$A:$BB,C$34,0))</f>
        <v>5885761</v>
      </c>
      <c r="D40" s="58">
        <f>IF(VLOOKUP($B$8,entréesAE!$A:$BB,D$34,0)=0,"-",VLOOKUP($B$8,entréesAE!$A:$BB,D$34,0))</f>
        <v>7507173</v>
      </c>
      <c r="E40" s="58">
        <f>IF(VLOOKUP($B$8,entréesAE!$A:$BB,E$34,0)=0,"-",VLOOKUP($B$8,entréesAE!$A:$BB,E$34,0))</f>
        <v>6319761</v>
      </c>
      <c r="F40" s="58">
        <f>IF(VLOOKUP($B$8,entréesAE!$A:$BB,F$34,0)=0,"-",VLOOKUP($B$8,entréesAE!$A:$BB,F$34,0))</f>
        <v>7249463</v>
      </c>
      <c r="G40" s="58">
        <f>IF(VLOOKUP($B$8,entréesAE!$A:$BB,G$34,0)=0,"-",VLOOKUP($B$8,entréesAE!$A:$BB,G$34,0))</f>
        <v>6820146</v>
      </c>
      <c r="H40" s="58">
        <f>IF(VLOOKUP($B$8,entréesAE!$A:$BB,H$34,0)=0,"-",VLOOKUP($B$8,entréesAE!$A:$BB,H$34,0))</f>
        <v>6312534</v>
      </c>
      <c r="I40" s="58">
        <f>IF(VLOOKUP($B$8,entréesAE!$A:$BB,I$34,0)=0,"-",VLOOKUP($B$8,entréesAE!$A:$BB,I$34,0))</f>
        <v>6830222</v>
      </c>
      <c r="J40" s="58">
        <f>IF(VLOOKUP($B$8,entréesAE!$A:$BB,J$34,0)=0,"-",VLOOKUP($B$8,entréesAE!$A:$BB,J$34,0))</f>
        <v>6681179</v>
      </c>
      <c r="K40" s="58">
        <f>IF(VLOOKUP($B$8,entréesAE!$A:$BB,K$34,0)=0,"-",VLOOKUP($B$8,entréesAE!$A:$BB,K$34,0))</f>
        <v>7170255</v>
      </c>
      <c r="L40" s="58">
        <f>IF(VLOOKUP($B$8,entréesAE!$A:$BB,L$34,0)=0,"-",VLOOKUP($B$8,entréesAE!$A:$BB,L$34,0))</f>
        <v>6062366</v>
      </c>
      <c r="M40" s="58">
        <f>IF(VLOOKUP($B$8,entréesAE!$A:$BB,M$34,0)=0,"-",VLOOKUP($B$8,entréesAE!$A:$BB,M$34,0))</f>
        <v>6300384</v>
      </c>
      <c r="N40" s="58">
        <f>IF(VLOOKUP($B$8,entréesAE!$A:$BB,N$34,0)=0,"-",VLOOKUP($B$8,entréesAE!$A:$BB,N$34,0))</f>
        <v>7629691</v>
      </c>
      <c r="O40" s="58">
        <f>IF(VLOOKUP($B$8,entréesAE!$A:$BB,O$34,0)=0,"-",VLOOKUP($B$8,entréesAE!$A:$BB,O$34,0))</f>
        <v>8050173</v>
      </c>
      <c r="P40" s="58">
        <f>IF(VLOOKUP($B$8,entréesAE!$A:$BB,P$34,0)=0,"-",VLOOKUP($B$8,entréesAE!$A:$BB,P$34,0))</f>
        <v>7886480</v>
      </c>
      <c r="Q40" s="58">
        <f>IF(VLOOKUP($B$8,entréesAE!$A:$BB,Q$34,0)=0,"-",VLOOKUP($B$8,entréesAE!$A:$BB,Q$34,0))</f>
        <v>8521098</v>
      </c>
      <c r="R40" s="58">
        <f>IF(VLOOKUP($B$8,entréesAE!$A:$BB,R$34,0)=0,"-",VLOOKUP($B$8,entréesAE!$A:$BB,R$34,0))</f>
        <v>9100632</v>
      </c>
      <c r="S40" s="58">
        <f>IF(VLOOKUP($B$8,entréesAE!$A:$BB,S$34,0)=0,"-",VLOOKUP($B$8,entréesAE!$A:$BB,S$34,0))</f>
        <v>10517238</v>
      </c>
      <c r="T40" s="58">
        <f>IF(VLOOKUP($B$8,entréesAE!$A:$BB,T$34,0)=0,"-",VLOOKUP($B$8,entréesAE!$A:$BB,T$34,0))</f>
        <v>3446213</v>
      </c>
      <c r="U40" s="58">
        <f>IF(VLOOKUP($B$8,entréesAE!$A:$BB,U$34,0)=0,"-",VLOOKUP($B$8,entréesAE!$A:$BB,U$34,0))</f>
        <v>4758165</v>
      </c>
      <c r="V40" s="58">
        <f>IF(VLOOKUP($B$8,entréesAE!$A:$BB,V$34,0)=0,"-",VLOOKUP($B$8,entréesAE!$A:$BB,V$34,0))</f>
        <v>7807496</v>
      </c>
      <c r="W40" s="58">
        <f>IF(VLOOKUP($B$8,entréesAE!$A:$BB,W$34,0)=0,"-",VLOOKUP($B$8,entréesAE!$A:$BB,W$34,0))</f>
        <v>9569897</v>
      </c>
      <c r="X40" s="4"/>
      <c r="Y40" s="4"/>
      <c r="Z40" s="4"/>
      <c r="AA40" s="4"/>
      <c r="AB40" s="46"/>
      <c r="AC40" s="46"/>
      <c r="AD40" s="46"/>
      <c r="AE40" s="46"/>
      <c r="AF40" s="46"/>
      <c r="AG40" s="46"/>
      <c r="AH40" s="46"/>
      <c r="AI40" s="46"/>
      <c r="AJ40" s="46"/>
      <c r="AK40" s="46"/>
      <c r="AL40" s="46"/>
      <c r="AM40" s="46"/>
      <c r="AN40" s="46"/>
      <c r="AO40" s="46"/>
      <c r="AP40" s="46"/>
      <c r="AQ40" s="46"/>
      <c r="AR40" s="46"/>
      <c r="AS40" s="46"/>
      <c r="AT40" s="46"/>
      <c r="AU40" s="46"/>
      <c r="AV40" s="46"/>
      <c r="AW40" s="46"/>
      <c r="AX40" s="46"/>
    </row>
    <row r="41" spans="1:50" x14ac:dyDescent="0.2">
      <c r="A41" s="46" t="s">
        <v>60</v>
      </c>
      <c r="B41" s="58">
        <f>IF(VLOOKUP($B$8,recettesAE!$A:$BB,B$34,0)=0,"-",VLOOKUP($B$8,recettesAE!$A:$BB,B$34,0))</f>
        <v>30500300</v>
      </c>
      <c r="C41" s="58">
        <f>IF(VLOOKUP($B$8,recettesAE!$A:$BB,C$34,0)=0,"-",VLOOKUP($B$8,recettesAE!$A:$BB,C$34,0))</f>
        <v>29114928</v>
      </c>
      <c r="D41" s="58">
        <f>IF(VLOOKUP($B$8,recettesAE!$A:$BB,D$34,0)=0,"-",VLOOKUP($B$8,recettesAE!$A:$BB,D$34,0))</f>
        <v>38250058</v>
      </c>
      <c r="E41" s="58">
        <f>IF(VLOOKUP($B$8,recettesAE!$A:$BB,E$34,0)=0,"-",VLOOKUP($B$8,recettesAE!$A:$BB,E$34,0))</f>
        <v>32208680</v>
      </c>
      <c r="F41" s="58">
        <f>IF(VLOOKUP($B$8,recettesAE!$A:$BB,F$34,0)=0,"-",VLOOKUP($B$8,recettesAE!$A:$BB,F$34,0))</f>
        <v>37582187</v>
      </c>
      <c r="G41" s="58">
        <f>IF(VLOOKUP($B$8,recettesAE!$A:$BB,G$34,0)=0,"-",VLOOKUP($B$8,recettesAE!$A:$BB,G$34,0))</f>
        <v>35741167</v>
      </c>
      <c r="H41" s="58">
        <f>IF(VLOOKUP($B$8,recettesAE!$A:$BB,H$34,0)=0,"-",VLOOKUP($B$8,recettesAE!$A:$BB,H$34,0))</f>
        <v>32816361</v>
      </c>
      <c r="I41" s="58">
        <f>IF(VLOOKUP($B$8,recettesAE!$A:$BB,I$34,0)=0,"-",VLOOKUP($B$8,recettesAE!$A:$BB,I$34,0))</f>
        <v>36490896</v>
      </c>
      <c r="J41" s="58">
        <f>IF(VLOOKUP($B$8,recettesAE!$A:$BB,J$34,0)=0,"-",VLOOKUP($B$8,recettesAE!$A:$BB,J$34,0))</f>
        <v>36117824</v>
      </c>
      <c r="K41" s="58">
        <f>IF(VLOOKUP($B$8,recettesAE!$A:$BB,K$34,0)=0,"-",VLOOKUP($B$8,recettesAE!$A:$BB,K$34,0))</f>
        <v>39298156</v>
      </c>
      <c r="L41" s="58">
        <f>IF(VLOOKUP($B$8,recettesAE!$A:$BB,L$34,0)=0,"-",VLOOKUP($B$8,recettesAE!$A:$BB,L$34,0))</f>
        <v>32854200</v>
      </c>
      <c r="M41" s="58">
        <f>IF(VLOOKUP($B$8,recettesAE!$A:$BB,M$34,0)=0,"-",VLOOKUP($B$8,recettesAE!$A:$BB,M$34,0))</f>
        <v>34341847</v>
      </c>
      <c r="N41" s="58">
        <f>IF(VLOOKUP($B$8,recettesAE!$A:$BB,N$34,0)=0,"-",VLOOKUP($B$8,recettesAE!$A:$BB,N$34,0))</f>
        <v>41686367</v>
      </c>
      <c r="O41" s="58">
        <f>IF(VLOOKUP($B$8,recettesAE!$A:$BB,O$34,0)=0,"-",VLOOKUP($B$8,recettesAE!$A:$BB,O$34,0))</f>
        <v>44814218</v>
      </c>
      <c r="P41" s="58">
        <f>IF(VLOOKUP($B$8,recettesAE!$A:$BB,P$34,0)=0,"-",VLOOKUP($B$8,recettesAE!$A:$BB,P$34,0))</f>
        <v>42998034</v>
      </c>
      <c r="Q41" s="58">
        <f>IF(VLOOKUP($B$8,recettesAE!$A:$BB,Q$34,0)=0,"-",VLOOKUP($B$8,recettesAE!$A:$BB,Q$34,0))</f>
        <v>47717530</v>
      </c>
      <c r="R41" s="58">
        <f>IF(VLOOKUP($B$8,recettesAE!$A:$BB,R$34,0)=0,"-",VLOOKUP($B$8,recettesAE!$A:$BB,R$34,0))</f>
        <v>51207988</v>
      </c>
      <c r="S41" s="58">
        <f>IF(VLOOKUP($B$8,recettesAE!$A:$BB,S$34,0)=0,"-",VLOOKUP($B$8,recettesAE!$A:$BB,S$34,0))</f>
        <v>60766429</v>
      </c>
      <c r="T41" s="58">
        <f>IF(VLOOKUP($B$8,recettesAE!$A:$BB,T$34,0)=0,"-",VLOOKUP($B$8,recettesAE!$A:$BB,T$34,0))</f>
        <v>19751168</v>
      </c>
      <c r="U41" s="58">
        <f>IF(VLOOKUP($B$8,recettesAE!$A:$BB,U$34,0)=0,"-",VLOOKUP($B$8,recettesAE!$A:$BB,U$34,0))</f>
        <v>27713801</v>
      </c>
      <c r="V41" s="58">
        <f>IF(VLOOKUP($B$8,recettesAE!$A:$BB,V$34,0)=0,"-",VLOOKUP($B$8,recettesAE!$A:$BB,V$34,0))</f>
        <v>45445077</v>
      </c>
      <c r="W41" s="58">
        <f>IF(VLOOKUP($B$8,recettesAE!$A:$BB,W$34,0)=0,"-",VLOOKUP($B$8,recettesAE!$A:$BB,W$34,0))</f>
        <v>57922442</v>
      </c>
      <c r="X41" s="4"/>
      <c r="Y41" s="4"/>
      <c r="Z41" s="4"/>
      <c r="AA41" s="4"/>
      <c r="AB41" s="46"/>
      <c r="AC41" s="46"/>
      <c r="AD41" s="46"/>
      <c r="AE41" s="46"/>
      <c r="AF41" s="46"/>
      <c r="AG41" s="46"/>
      <c r="AH41" s="46"/>
      <c r="AI41" s="46"/>
      <c r="AJ41" s="46"/>
      <c r="AK41" s="46"/>
      <c r="AL41" s="46"/>
      <c r="AM41" s="46"/>
      <c r="AN41" s="46"/>
      <c r="AO41" s="46"/>
      <c r="AP41" s="46"/>
      <c r="AQ41" s="46"/>
      <c r="AR41" s="46"/>
      <c r="AS41" s="46"/>
      <c r="AT41" s="46"/>
      <c r="AU41" s="46"/>
      <c r="AV41" s="46"/>
      <c r="AW41" s="46"/>
      <c r="AX41" s="46"/>
    </row>
    <row r="42" spans="1:50" x14ac:dyDescent="0.2">
      <c r="A42" s="46" t="s">
        <v>61</v>
      </c>
      <c r="B42" s="65">
        <f>IF(VLOOKUP($B$8,RMEAE!$A:$BB,B$34,0)=0,"-",VLOOKUP($B$8,RMEAE!$A:$BB,B$34,0))</f>
        <v>4.9098835950490187</v>
      </c>
      <c r="C42" s="65">
        <f>IF(VLOOKUP($B$8,RMEAE!$A:$BB,C$34,0)=0,"-",VLOOKUP($B$8,RMEAE!$A:$BB,C$34,0))</f>
        <v>4.9466718067553206</v>
      </c>
      <c r="D42" s="65">
        <f>IF(VLOOKUP($B$8,RMEAE!$A:$BB,D$34,0)=0,"-",VLOOKUP($B$8,RMEAE!$A:$BB,D$34,0))</f>
        <v>5.0951347464618175</v>
      </c>
      <c r="E42" s="65">
        <f>IF(VLOOKUP($B$8,RMEAE!$A:$BB,E$34,0)=0,"-",VLOOKUP($B$8,RMEAE!$A:$BB,E$34,0))</f>
        <v>5.096502858256823</v>
      </c>
      <c r="F42" s="65">
        <f>IF(VLOOKUP($B$8,RMEAE!$A:$BB,F$34,0)=0,"-",VLOOKUP($B$8,RMEAE!$A:$BB,F$34,0))</f>
        <v>5.1841339144706309</v>
      </c>
      <c r="G42" s="65">
        <f>IF(VLOOKUP($B$8,RMEAE!$A:$BB,G$34,0)=0,"-",VLOOKUP($B$8,RMEAE!$A:$BB,G$34,0))</f>
        <v>5.2405281353214432</v>
      </c>
      <c r="H42" s="65">
        <f>IF(VLOOKUP($B$8,RMEAE!$A:$BB,H$34,0)=0,"-",VLOOKUP($B$8,RMEAE!$A:$BB,H$34,0))</f>
        <v>5.1986034451458005</v>
      </c>
      <c r="I42" s="65">
        <f>IF(VLOOKUP($B$8,RMEAE!$A:$BB,I$34,0)=0,"-",VLOOKUP($B$8,RMEAE!$A:$BB,I$34,0))</f>
        <v>5.3425636824103231</v>
      </c>
      <c r="J42" s="65">
        <f>IF(VLOOKUP($B$8,RMEAE!$A:$BB,J$34,0)=0,"-",VLOOKUP($B$8,RMEAE!$A:$BB,J$34,0))</f>
        <v>5.4059057540592761</v>
      </c>
      <c r="K42" s="65">
        <f>IF(VLOOKUP($B$8,RMEAE!$A:$BB,K$34,0)=0,"-",VLOOKUP($B$8,RMEAE!$A:$BB,K$34,0))</f>
        <v>5.4807194444270113</v>
      </c>
      <c r="L42" s="65">
        <f>IF(VLOOKUP($B$8,RMEAE!$A:$BB,L$34,0)=0,"-",VLOOKUP($B$8,RMEAE!$A:$BB,L$34,0))</f>
        <v>5.4193692693578708</v>
      </c>
      <c r="M42" s="65">
        <f>IF(VLOOKUP($B$8,RMEAE!$A:$BB,M$34,0)=0,"-",VLOOKUP($B$8,RMEAE!$A:$BB,M$34,0))</f>
        <v>5.4507545889266433</v>
      </c>
      <c r="N42" s="65">
        <f>IF(VLOOKUP($B$8,RMEAE!$A:$BB,N$34,0)=0,"-",VLOOKUP($B$8,RMEAE!$A:$BB,N$34,0))</f>
        <v>5.4637031827370208</v>
      </c>
      <c r="O42" s="65">
        <f>IF(VLOOKUP($B$8,RMEAE!$A:$BB,O$34,0)=0,"-",VLOOKUP($B$8,RMEAE!$A:$BB,O$34,0))</f>
        <v>5.5668639667743784</v>
      </c>
      <c r="P42" s="65">
        <f>IF(VLOOKUP($B$8,RMEAE!$A:$BB,P$34,0)=0,"-",VLOOKUP($B$8,RMEAE!$A:$BB,P$34,0))</f>
        <v>5.452119830393281</v>
      </c>
      <c r="Q42" s="65">
        <f>IF(VLOOKUP($B$8,RMEAE!$A:$BB,Q$34,0)=0,"-",VLOOKUP($B$8,RMEAE!$A:$BB,Q$34,0))</f>
        <v>5.5999273802507608</v>
      </c>
      <c r="R42" s="65">
        <f>IF(VLOOKUP($B$8,RMEAE!$A:$BB,R$34,0)=0,"-",VLOOKUP($B$8,RMEAE!$A:$BB,R$34,0))</f>
        <v>5.6268606400082986</v>
      </c>
      <c r="S42" s="65">
        <f>IF(VLOOKUP($B$8,RMEAE!$A:$BB,S$34,0)=0,"-",VLOOKUP($B$8,RMEAE!$A:$BB,S$34,0))</f>
        <v>5.7777934663074086</v>
      </c>
      <c r="T42" s="65">
        <f>IF(VLOOKUP($B$8,RMEAE!$A:$BB,T$34,0)=0,"-",VLOOKUP($B$8,RMEAE!$A:$BB,T$34,0))</f>
        <v>5.7312673360584503</v>
      </c>
      <c r="U42" s="65">
        <f>IF(VLOOKUP($B$8,RMEAE!$A:$BB,U$34,0)=0,"-",VLOOKUP($B$8,RMEAE!$A:$BB,U$34,0))</f>
        <v>5.8244724594460262</v>
      </c>
      <c r="V42" s="65">
        <f>IF(VLOOKUP($B$8,RMEAE!$A:$BB,V$34,0)=0,"-",VLOOKUP($B$8,RMEAE!$A:$BB,V$34,0))</f>
        <v>5.8206980829705195</v>
      </c>
      <c r="W42" s="65">
        <f>IF(VLOOKUP($B$8,RMEAE!$A:$BB,W$34,0)=0,"-",VLOOKUP($B$8,RMEAE!$A:$BB,W$34,0))</f>
        <v>6.0525669189542999</v>
      </c>
      <c r="X42" s="4"/>
      <c r="Y42" s="4"/>
      <c r="Z42" s="4"/>
      <c r="AA42" s="4"/>
      <c r="AB42" s="46"/>
      <c r="AC42" s="46"/>
      <c r="AD42" s="46"/>
      <c r="AE42" s="46"/>
      <c r="AF42" s="46"/>
      <c r="AG42" s="46"/>
      <c r="AH42" s="46"/>
      <c r="AI42" s="46"/>
      <c r="AJ42" s="46"/>
      <c r="AK42" s="46"/>
      <c r="AL42" s="46"/>
      <c r="AM42" s="46"/>
      <c r="AN42" s="46"/>
      <c r="AO42" s="46"/>
      <c r="AP42" s="46"/>
      <c r="AQ42" s="46"/>
      <c r="AR42" s="46"/>
      <c r="AS42" s="46"/>
      <c r="AT42" s="46"/>
      <c r="AU42" s="46"/>
      <c r="AV42" s="46"/>
      <c r="AW42" s="46"/>
      <c r="AX42" s="46"/>
    </row>
    <row r="43" spans="1:50" x14ac:dyDescent="0.2">
      <c r="A43" s="46" t="s">
        <v>62</v>
      </c>
      <c r="B43" s="65">
        <f>IF(VLOOKUP($B$8,'indice de fréquentationAE'!$A:$BB,B$34,0)=0,"-",VLOOKUP($B$8,'indice de fréquentationAE'!$A:$BB,B$34,0))</f>
        <v>0.89326523143644532</v>
      </c>
      <c r="C43" s="65">
        <f>IF(VLOOKUP($B$8,'indice de fréquentationAE'!$A:$BB,C$34,0)=0,"-",VLOOKUP($B$8,'indice de fréquentationAE'!$A:$BB,C$34,0))</f>
        <v>0.84635027181083322</v>
      </c>
      <c r="D43" s="65">
        <f>IF(VLOOKUP($B$8,'indice de fréquentationAE'!$A:$BB,D$34,0)=0,"-",VLOOKUP($B$8,'indice de fréquentationAE'!$A:$BB,D$34,0))</f>
        <v>1.0203802218524878</v>
      </c>
      <c r="E43" s="65">
        <f>IF(VLOOKUP($B$8,'indice de fréquentationAE'!$A:$BB,E$34,0)=0,"-",VLOOKUP($B$8,'indice de fréquentationAE'!$A:$BB,E$34,0))</f>
        <v>0.85898634961985021</v>
      </c>
      <c r="F43" s="65">
        <f>IF(VLOOKUP($B$8,'indice de fréquentationAE'!$A:$BB,F$34,0)=0,"-",VLOOKUP($B$8,'indice de fréquentationAE'!$A:$BB,F$34,0))</f>
        <v>0.87866889618648847</v>
      </c>
      <c r="G43" s="65">
        <f>IF(VLOOKUP($B$8,'indice de fréquentationAE'!$A:$BB,G$34,0)=0,"-",VLOOKUP($B$8,'indice de fréquentationAE'!$A:$BB,G$34,0))</f>
        <v>0.82663366343833944</v>
      </c>
      <c r="H43" s="65">
        <f>IF(VLOOKUP($B$8,'indice de fréquentationAE'!$A:$BB,H$34,0)=0,"-",VLOOKUP($B$8,'indice de fréquentationAE'!$A:$BB,H$34,0))</f>
        <v>0.76510870969610834</v>
      </c>
      <c r="I43" s="65">
        <f>IF(VLOOKUP($B$8,'indice de fréquentationAE'!$A:$BB,I$34,0)=0,"-",VLOOKUP($B$8,'indice de fréquentationAE'!$A:$BB,I$34,0))</f>
        <v>0.82785492186782239</v>
      </c>
      <c r="J43" s="65">
        <f>IF(VLOOKUP($B$8,'indice de fréquentationAE'!$A:$BB,J$34,0)=0,"-",VLOOKUP($B$8,'indice de fréquentationAE'!$A:$BB,J$34,0))</f>
        <v>0.80979021165489729</v>
      </c>
      <c r="K43" s="65">
        <f>IF(VLOOKUP($B$8,'indice de fréquentationAE'!$A:$BB,K$34,0)=0,"-",VLOOKUP($B$8,'indice de fréquentationAE'!$A:$BB,K$34,0))</f>
        <v>0.86906851531287899</v>
      </c>
      <c r="L43" s="65">
        <f>IF(VLOOKUP($B$8,'indice de fréquentationAE'!$A:$BB,L$34,0)=0,"-",VLOOKUP($B$8,'indice de fréquentationAE'!$A:$BB,L$34,0))</f>
        <v>0.73478717547747985</v>
      </c>
      <c r="M43" s="65">
        <f>IF(VLOOKUP($B$8,'indice de fréquentationAE'!$A:$BB,M$34,0)=0,"-",VLOOKUP($B$8,'indice de fréquentationAE'!$A:$BB,M$34,0))</f>
        <v>0.76363607274511403</v>
      </c>
      <c r="N43" s="65">
        <f>IF(VLOOKUP($B$8,'indice de fréquentationAE'!$A:$BB,N$34,0)=0,"-",VLOOKUP($B$8,'indice de fréquentationAE'!$A:$BB,N$34,0))</f>
        <v>0.92475431203855862</v>
      </c>
      <c r="O43" s="65">
        <f>IF(VLOOKUP($B$8,'indice de fréquentationAE'!$A:$BB,O$34,0)=0,"-",VLOOKUP($B$8,'indice de fréquentationAE'!$A:$BB,O$34,0))</f>
        <v>0.97571870137419447</v>
      </c>
      <c r="P43" s="65">
        <f>IF(VLOOKUP($B$8,'indice de fréquentationAE'!$A:$BB,P$34,0)=0,"-",VLOOKUP($B$8,'indice de fréquentationAE'!$A:$BB,P$34,0))</f>
        <v>0.95587834249196357</v>
      </c>
      <c r="Q43" s="65">
        <f>IF(VLOOKUP($B$8,'indice de fréquentationAE'!$A:$BB,Q$34,0)=0,"-",VLOOKUP($B$8,'indice de fréquentationAE'!$A:$BB,Q$34,0))</f>
        <v>1.0327970187525468</v>
      </c>
      <c r="R43" s="65">
        <f>IF(VLOOKUP($B$8,'indice de fréquentationAE'!$A:$BB,R$34,0)=0,"-",VLOOKUP($B$8,'indice de fréquentationAE'!$A:$BB,R$34,0))</f>
        <v>1.1030392560165401</v>
      </c>
      <c r="S43" s="65">
        <f>IF(VLOOKUP($B$8,'indice de fréquentationAE'!$A:$BB,S$34,0)=0,"-",VLOOKUP($B$8,'indice de fréquentationAE'!$A:$BB,S$34,0))</f>
        <v>1.2747385433087377</v>
      </c>
      <c r="T43" s="65">
        <f>IF(VLOOKUP($B$8,'indice de fréquentationAE'!$A:$BB,T$34,0)=0,"-",VLOOKUP($B$8,'indice de fréquentationAE'!$A:$BB,T$34,0))</f>
        <v>0.41769716911908189</v>
      </c>
      <c r="U43" s="65">
        <f>IF(VLOOKUP($B$8,'indice de fréquentationAE'!$A:$BB,U$34,0)=0,"-",VLOOKUP($B$8,'indice de fréquentationAE'!$A:$BB,U$34,0))</f>
        <v>0.57671190106400749</v>
      </c>
      <c r="V43" s="65">
        <f>IF(VLOOKUP($B$8,'indice de fréquentationAE'!$A:$BB,V$34,0)=0,"-",VLOOKUP($B$8,'indice de fréquentationAE'!$A:$BB,V$34,0))</f>
        <v>0.94630511146831475</v>
      </c>
      <c r="W43" s="65">
        <f>IF(VLOOKUP($B$8,'indice de fréquentationAE'!$A:$BB,W$34,0)=0,"-",VLOOKUP($B$8,'indice de fréquentationAE'!$A:$BB,W$34,0))</f>
        <v>1.1599163736139335</v>
      </c>
      <c r="X43" s="4"/>
      <c r="Y43" s="4"/>
      <c r="Z43" s="4"/>
      <c r="AA43" s="4"/>
      <c r="AB43" s="46"/>
      <c r="AC43" s="46"/>
      <c r="AD43" s="46"/>
      <c r="AE43" s="46"/>
      <c r="AF43" s="46"/>
      <c r="AG43" s="46"/>
      <c r="AH43" s="46"/>
      <c r="AI43" s="46"/>
      <c r="AJ43" s="46"/>
      <c r="AK43" s="46"/>
      <c r="AL43" s="46"/>
      <c r="AM43" s="46"/>
      <c r="AN43" s="46"/>
      <c r="AO43" s="46"/>
      <c r="AP43" s="46"/>
      <c r="AQ43" s="46"/>
      <c r="AR43" s="46"/>
      <c r="AS43" s="46"/>
      <c r="AT43" s="46"/>
      <c r="AU43" s="46"/>
      <c r="AV43" s="46"/>
      <c r="AW43" s="46"/>
      <c r="AX43" s="46"/>
    </row>
    <row r="44" spans="1:50" x14ac:dyDescent="0.2">
      <c r="A44" s="46" t="s">
        <v>66</v>
      </c>
      <c r="B44" s="64">
        <f>IF(VLOOKUP($B$8,tmofAE!$A:$BB,B$34,0)=0,"-",VLOOKUP($B$8,tmofAE!$A:$BB,B$34,0))</f>
        <v>17.430645146496083</v>
      </c>
      <c r="C44" s="64">
        <f>IF(VLOOKUP($B$8,tmofAE!$A:$BB,C$34,0)=0,"-",VLOOKUP($B$8,tmofAE!$A:$BB,C$34,0))</f>
        <v>15.964701234035129</v>
      </c>
      <c r="D44" s="64">
        <f>IF(VLOOKUP($B$8,tmofAE!$A:$BB,D$34,0)=0,"-",VLOOKUP($B$8,tmofAE!$A:$BB,D$34,0))</f>
        <v>18.353813617727106</v>
      </c>
      <c r="E44" s="64">
        <f>IF(VLOOKUP($B$8,tmofAE!$A:$BB,E$34,0)=0,"-",VLOOKUP($B$8,tmofAE!$A:$BB,E$34,0))</f>
        <v>16.048051245462066</v>
      </c>
      <c r="F44" s="64">
        <f>IF(VLOOKUP($B$8,tmofAE!$A:$BB,F$34,0)=0,"-",VLOOKUP($B$8,tmofAE!$A:$BB,F$34,0))</f>
        <v>17.067428685577209</v>
      </c>
      <c r="G44" s="64">
        <f>IF(VLOOKUP($B$8,tmofAE!$A:$BB,G$34,0)=0,"-",VLOOKUP($B$8,tmofAE!$A:$BB,G$34,0))</f>
        <v>16.37470204372126</v>
      </c>
      <c r="H44" s="64">
        <f>IF(VLOOKUP($B$8,tmofAE!$A:$BB,H$34,0)=0,"-",VLOOKUP($B$8,tmofAE!$A:$BB,H$34,0))</f>
        <v>15.722566569780133</v>
      </c>
      <c r="I44" s="64">
        <f>IF(VLOOKUP($B$8,tmofAE!$A:$BB,I$34,0)=0,"-",VLOOKUP($B$8,tmofAE!$A:$BB,I$34,0))</f>
        <v>15.829398285247171</v>
      </c>
      <c r="J44" s="64">
        <f>IF(VLOOKUP($B$8,tmofAE!$A:$BB,J$34,0)=0,"-",VLOOKUP($B$8,tmofAE!$A:$BB,J$34,0))</f>
        <v>15.869674200513145</v>
      </c>
      <c r="K44" s="64">
        <f>IF(VLOOKUP($B$8,tmofAE!$A:$BB,K$34,0)=0,"-",VLOOKUP($B$8,tmofAE!$A:$BB,K$34,0))</f>
        <v>16.351763776874684</v>
      </c>
      <c r="L44" s="64">
        <f>IF(VLOOKUP($B$8,tmofAE!$A:$BB,L$34,0)=0,"-",VLOOKUP($B$8,tmofAE!$A:$BB,L$34,0))</f>
        <v>14.232493402795116</v>
      </c>
      <c r="M44" s="64">
        <f>IF(VLOOKUP($B$8,tmofAE!$A:$BB,M$34,0)=0,"-",VLOOKUP($B$8,tmofAE!$A:$BB,M$34,0))</f>
        <v>13.915412393067569</v>
      </c>
      <c r="N44" s="64">
        <f>IF(VLOOKUP($B$8,tmofAE!$A:$BB,N$34,0)=0,"-",VLOOKUP($B$8,tmofAE!$A:$BB,N$34,0))</f>
        <v>14.924634266911276</v>
      </c>
      <c r="O44" s="64">
        <f>IF(VLOOKUP($B$8,tmofAE!$A:$BB,O$34,0)=0,"-",VLOOKUP($B$8,tmofAE!$A:$BB,O$34,0))</f>
        <v>14.528877507655155</v>
      </c>
      <c r="P44" s="64">
        <f>IF(VLOOKUP($B$8,tmofAE!$A:$BB,P$34,0)=0,"-",VLOOKUP($B$8,tmofAE!$A:$BB,P$34,0))</f>
        <v>14.98941558246289</v>
      </c>
      <c r="Q44" s="64">
        <f>IF(VLOOKUP($B$8,tmofAE!$A:$BB,Q$34,0)=0,"-",VLOOKUP($B$8,tmofAE!$A:$BB,Q$34,0))</f>
        <v>14.677489437936675</v>
      </c>
      <c r="R44" s="64">
        <f>IF(VLOOKUP($B$8,tmofAE!$A:$BB,R$34,0)=0,"-",VLOOKUP($B$8,tmofAE!$A:$BB,R$34,0))</f>
        <v>14.317312168254103</v>
      </c>
      <c r="S44" s="64">
        <f>IF(VLOOKUP($B$8,tmofAE!$A:$BB,S$34,0)=0,"-",VLOOKUP($B$8,tmofAE!$A:$BB,S$34,0))</f>
        <v>15.18619885171813</v>
      </c>
      <c r="T44" s="64">
        <f>IF(VLOOKUP($B$8,tmofAE!$A:$BB,T$34,0)=0,"-",VLOOKUP($B$8,tmofAE!$A:$BB,T$34,0))</f>
        <v>9.853802746415667</v>
      </c>
      <c r="U44" s="64">
        <f>IF(VLOOKUP($B$8,tmofAE!$A:$BB,U$34,0)=0,"-",VLOOKUP($B$8,tmofAE!$A:$BB,U$34,0))</f>
        <v>11.378048537969388</v>
      </c>
      <c r="V44" s="64">
        <f>IF(VLOOKUP($B$8,tmofAE!$A:$BB,V$34,0)=0,"-",VLOOKUP($B$8,tmofAE!$A:$BB,V$34,0))</f>
        <v>11.247554763357922</v>
      </c>
      <c r="W44" s="64">
        <f>IF(VLOOKUP($B$8,tmofAE!$A:$BB,W$34,0)=0,"-",VLOOKUP($B$8,tmofAE!$A:$BB,W$34,0))</f>
        <v>13.988220619127977</v>
      </c>
      <c r="X44" s="4"/>
      <c r="Y44" s="4"/>
      <c r="Z44" s="4"/>
      <c r="AA44" s="4"/>
      <c r="AB44" s="46"/>
      <c r="AC44" s="46"/>
      <c r="AD44" s="46"/>
      <c r="AE44" s="46"/>
      <c r="AF44" s="46"/>
      <c r="AG44" s="46"/>
      <c r="AH44" s="46"/>
      <c r="AI44" s="46"/>
      <c r="AJ44" s="46"/>
      <c r="AK44" s="46"/>
      <c r="AL44" s="46"/>
      <c r="AM44" s="46"/>
      <c r="AN44" s="46"/>
      <c r="AO44" s="46"/>
      <c r="AP44" s="46"/>
      <c r="AQ44" s="46"/>
      <c r="AR44" s="46"/>
      <c r="AS44" s="46"/>
      <c r="AT44" s="46"/>
      <c r="AU44" s="46"/>
      <c r="AV44" s="46"/>
      <c r="AW44" s="46"/>
      <c r="AX44" s="46"/>
    </row>
    <row r="45" spans="1:50" x14ac:dyDescent="0.2">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50" x14ac:dyDescent="0.2">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row>
    <row r="47" spans="1:50" x14ac:dyDescent="0.2">
      <c r="A47" s="45" t="s">
        <v>110</v>
      </c>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row>
    <row r="48" spans="1:50" ht="3" customHeight="1" x14ac:dyDescent="0.2">
      <c r="B48" s="67">
        <v>2</v>
      </c>
      <c r="C48" s="67">
        <v>3</v>
      </c>
      <c r="D48" s="67">
        <v>4</v>
      </c>
      <c r="E48" s="67">
        <v>5</v>
      </c>
      <c r="F48" s="67">
        <v>6</v>
      </c>
      <c r="G48" s="67">
        <v>7</v>
      </c>
      <c r="H48" s="67">
        <v>8</v>
      </c>
      <c r="I48" s="67">
        <v>9</v>
      </c>
      <c r="J48" s="67">
        <v>10</v>
      </c>
      <c r="K48" s="67">
        <v>11</v>
      </c>
      <c r="L48" s="67">
        <v>12</v>
      </c>
      <c r="M48" s="67">
        <v>13</v>
      </c>
      <c r="N48" s="67">
        <v>14</v>
      </c>
      <c r="O48" s="67">
        <v>15</v>
      </c>
      <c r="P48" s="67">
        <v>16</v>
      </c>
      <c r="Q48" s="67">
        <v>17</v>
      </c>
      <c r="R48" s="67">
        <v>18</v>
      </c>
      <c r="S48" s="67">
        <v>19</v>
      </c>
      <c r="T48" s="67">
        <v>20</v>
      </c>
      <c r="U48" s="67">
        <v>21</v>
      </c>
      <c r="V48" s="60"/>
      <c r="W48" s="60"/>
      <c r="X48" s="60"/>
      <c r="Y48" s="60"/>
      <c r="Z48" s="60"/>
      <c r="AA48" s="60"/>
    </row>
    <row r="49" spans="1:48" s="45" customFormat="1" x14ac:dyDescent="0.2">
      <c r="A49" s="48"/>
      <c r="B49" s="61">
        <v>2004</v>
      </c>
      <c r="C49" s="61">
        <v>2005</v>
      </c>
      <c r="D49" s="61">
        <v>2006</v>
      </c>
      <c r="E49" s="61">
        <v>2007</v>
      </c>
      <c r="F49" s="61">
        <v>2008</v>
      </c>
      <c r="G49" s="61">
        <v>2009</v>
      </c>
      <c r="H49" s="61">
        <v>2010</v>
      </c>
      <c r="I49" s="61">
        <v>2011</v>
      </c>
      <c r="J49" s="61">
        <v>2012</v>
      </c>
      <c r="K49" s="61">
        <v>2013</v>
      </c>
      <c r="L49" s="61">
        <v>2014</v>
      </c>
      <c r="M49" s="61">
        <v>2015</v>
      </c>
      <c r="N49" s="61">
        <v>2016</v>
      </c>
      <c r="O49" s="61">
        <v>2017</v>
      </c>
      <c r="P49" s="61">
        <v>2018</v>
      </c>
      <c r="Q49" s="61">
        <v>2019</v>
      </c>
      <c r="R49" s="61">
        <v>2020</v>
      </c>
      <c r="S49" s="61">
        <v>2021</v>
      </c>
      <c r="T49" s="61">
        <v>2022</v>
      </c>
      <c r="U49" s="61">
        <v>2023</v>
      </c>
      <c r="V49" s="62"/>
      <c r="W49" s="62"/>
      <c r="X49" s="62"/>
      <c r="Y49" s="62"/>
      <c r="Z49" s="62"/>
      <c r="AA49" s="62"/>
    </row>
    <row r="50" spans="1:48" x14ac:dyDescent="0.2">
      <c r="A50" s="46" t="s">
        <v>63</v>
      </c>
      <c r="B50" s="4">
        <f>IF(VLOOKUP($B$8,étabP!$A:$BB,B$48,0)=0,"-",VLOOKUP($B$8,étabP!$A:$BB,B$48,0))</f>
        <v>258</v>
      </c>
      <c r="C50" s="4">
        <f>IF(VLOOKUP($B$8,étabP!$A:$BB,C$48,0)=0,"-",VLOOKUP($B$8,étabP!$A:$BB,C$48,0))</f>
        <v>262</v>
      </c>
      <c r="D50" s="4">
        <f>IF(VLOOKUP($B$8,étabP!$A:$BB,D$48,0)=0,"-",VLOOKUP($B$8,étabP!$A:$BB,D$48,0))</f>
        <v>263</v>
      </c>
      <c r="E50" s="4">
        <f>IF(VLOOKUP($B$8,étabP!$A:$BB,E$48,0)=0,"-",VLOOKUP($B$8,étabP!$A:$BB,E$48,0))</f>
        <v>259</v>
      </c>
      <c r="F50" s="4">
        <f>IF(VLOOKUP($B$8,étabP!$A:$BB,F$48,0)=0,"-",VLOOKUP($B$8,étabP!$A:$BB,F$48,0))</f>
        <v>268</v>
      </c>
      <c r="G50" s="4">
        <f>IF(VLOOKUP($B$8,étabP!$A:$BB,G$48,0)=0,"-",VLOOKUP($B$8,étabP!$A:$BB,G$48,0))</f>
        <v>271</v>
      </c>
      <c r="H50" s="4">
        <f>IF(VLOOKUP($B$8,étabP!$A:$BB,H$48,0)=0,"-",VLOOKUP($B$8,étabP!$A:$BB,H$48,0))</f>
        <v>266</v>
      </c>
      <c r="I50" s="4">
        <f>IF(VLOOKUP($B$8,étabP!$A:$BB,I$48,0)=0,"-",VLOOKUP($B$8,étabP!$A:$BB,I$48,0))</f>
        <v>263</v>
      </c>
      <c r="J50" s="4">
        <f>IF(VLOOKUP($B$8,étabP!$A:$BB,J$48,0)=0,"-",VLOOKUP($B$8,étabP!$A:$BB,J$48,0))</f>
        <v>253</v>
      </c>
      <c r="K50" s="4">
        <f>IF(VLOOKUP($B$8,étabP!$A:$BB,K$48,0)=0,"-",VLOOKUP($B$8,étabP!$A:$BB,K$48,0))</f>
        <v>246</v>
      </c>
      <c r="L50" s="4">
        <f>IF(VLOOKUP($B$8,étabP!$A:$BB,L$48,0)=0,"-",VLOOKUP($B$8,étabP!$A:$BB,L$48,0))</f>
        <v>237</v>
      </c>
      <c r="M50" s="4">
        <f>IF(VLOOKUP($B$8,étabP!$A:$BB,M$48,0)=0,"-",VLOOKUP($B$8,étabP!$A:$BB,M$48,0))</f>
        <v>246</v>
      </c>
      <c r="N50" s="4">
        <f>IF(VLOOKUP($B$8,étabP!$A:$BB,N$48,0)=0,"-",VLOOKUP($B$8,étabP!$A:$BB,N$48,0))</f>
        <v>242</v>
      </c>
      <c r="O50" s="4">
        <f>IF(VLOOKUP($B$8,étabP!$A:$BB,O$48,0)=0,"-",VLOOKUP($B$8,étabP!$A:$BB,O$48,0))</f>
        <v>243</v>
      </c>
      <c r="P50" s="4">
        <f>IF(VLOOKUP($B$8,étabP!$A:$BB,P$48,0)=0,"-",VLOOKUP($B$8,étabP!$A:$BB,P$48,0))</f>
        <v>246</v>
      </c>
      <c r="Q50" s="4">
        <f>IF(VLOOKUP($B$8,étabP!$A:$BB,Q$48,0)=0,"-",VLOOKUP($B$8,étabP!$A:$BB,Q$48,0))</f>
        <v>241</v>
      </c>
      <c r="R50" s="4">
        <f>IF(VLOOKUP($B$8,étabP!$A:$BB,R$48,0)=0,"-",VLOOKUP($B$8,étabP!$A:$BB,R$48,0))</f>
        <v>268</v>
      </c>
      <c r="S50" s="4">
        <f>IF(VLOOKUP($B$8,étabP!$A:$BB,S$48,0)=0,"-",VLOOKUP($B$8,étabP!$A:$BB,S$48,0))</f>
        <v>255</v>
      </c>
      <c r="T50" s="4">
        <f>IF(VLOOKUP($B$8,étabP!$A:$BB,T$48,0)=0,"-",VLOOKUP($B$8,étabP!$A:$BB,T$48,0))</f>
        <v>250</v>
      </c>
      <c r="U50" s="4">
        <f>IF(VLOOKUP($B$8,étabP!$A:$BB,U$48,0)=0,"-",VLOOKUP($B$8,étabP!$A:$BB,U$48,0))</f>
        <v>243</v>
      </c>
      <c r="V50" s="4"/>
      <c r="W50" s="4"/>
      <c r="X50" s="4"/>
      <c r="Y50" s="4"/>
      <c r="Z50" s="4"/>
      <c r="AA50" s="4"/>
      <c r="AB50" s="46"/>
      <c r="AC50" s="46"/>
      <c r="AD50" s="46"/>
      <c r="AE50" s="46"/>
      <c r="AF50" s="46"/>
      <c r="AG50" s="46"/>
      <c r="AH50" s="46"/>
      <c r="AI50" s="46"/>
      <c r="AJ50" s="46"/>
      <c r="AK50" s="46"/>
      <c r="AL50" s="46"/>
      <c r="AM50" s="46"/>
      <c r="AN50" s="46"/>
      <c r="AO50" s="46"/>
      <c r="AP50" s="46"/>
      <c r="AQ50" s="46"/>
      <c r="AR50" s="46"/>
      <c r="AS50" s="46"/>
      <c r="AT50" s="46"/>
      <c r="AU50" s="46"/>
    </row>
    <row r="51" spans="1:48" x14ac:dyDescent="0.2">
      <c r="A51" s="46" t="s">
        <v>57</v>
      </c>
      <c r="B51" s="4">
        <f>IF(VLOOKUP($B$8,écransP!$A:$BB,B$48,0)=0,"-",VLOOKUP($B$8,écransP!$A:$BB,B$48,0))</f>
        <v>332</v>
      </c>
      <c r="C51" s="4">
        <f>IF(VLOOKUP($B$8,écransP!$A:$BB,C$48,0)=0,"-",VLOOKUP($B$8,écransP!$A:$BB,C$48,0))</f>
        <v>340</v>
      </c>
      <c r="D51" s="4">
        <f>IF(VLOOKUP($B$8,écransP!$A:$BB,D$48,0)=0,"-",VLOOKUP($B$8,écransP!$A:$BB,D$48,0))</f>
        <v>349</v>
      </c>
      <c r="E51" s="4">
        <f>IF(VLOOKUP($B$8,écransP!$A:$BB,E$48,0)=0,"-",VLOOKUP($B$8,écransP!$A:$BB,E$48,0))</f>
        <v>337</v>
      </c>
      <c r="F51" s="4">
        <f>IF(VLOOKUP($B$8,écransP!$A:$BB,F$48,0)=0,"-",VLOOKUP($B$8,écransP!$A:$BB,F$48,0))</f>
        <v>356</v>
      </c>
      <c r="G51" s="4">
        <f>IF(VLOOKUP($B$8,écransP!$A:$BB,G$48,0)=0,"-",VLOOKUP($B$8,écransP!$A:$BB,G$48,0))</f>
        <v>358</v>
      </c>
      <c r="H51" s="4">
        <f>IF(VLOOKUP($B$8,écransP!$A:$BB,H$48,0)=0,"-",VLOOKUP($B$8,écransP!$A:$BB,H$48,0))</f>
        <v>350</v>
      </c>
      <c r="I51" s="4">
        <f>IF(VLOOKUP($B$8,écransP!$A:$BB,I$48,0)=0,"-",VLOOKUP($B$8,écransP!$A:$BB,I$48,0))</f>
        <v>349</v>
      </c>
      <c r="J51" s="4">
        <f>IF(VLOOKUP($B$8,écransP!$A:$BB,J$48,0)=0,"-",VLOOKUP($B$8,écransP!$A:$BB,J$48,0))</f>
        <v>338</v>
      </c>
      <c r="K51" s="4">
        <f>IF(VLOOKUP($B$8,écransP!$A:$BB,K$48,0)=0,"-",VLOOKUP($B$8,écransP!$A:$BB,K$48,0))</f>
        <v>333</v>
      </c>
      <c r="L51" s="4">
        <f>IF(VLOOKUP($B$8,écransP!$A:$BB,L$48,0)=0,"-",VLOOKUP($B$8,écransP!$A:$BB,L$48,0))</f>
        <v>317</v>
      </c>
      <c r="M51" s="4">
        <f>IF(VLOOKUP($B$8,écransP!$A:$BB,M$48,0)=0,"-",VLOOKUP($B$8,écransP!$A:$BB,M$48,0))</f>
        <v>331</v>
      </c>
      <c r="N51" s="4">
        <f>IF(VLOOKUP($B$8,écransP!$A:$BB,N$48,0)=0,"-",VLOOKUP($B$8,écransP!$A:$BB,N$48,0))</f>
        <v>322</v>
      </c>
      <c r="O51" s="4">
        <f>IF(VLOOKUP($B$8,écransP!$A:$BB,O$48,0)=0,"-",VLOOKUP($B$8,écransP!$A:$BB,O$48,0))</f>
        <v>327</v>
      </c>
      <c r="P51" s="4">
        <f>IF(VLOOKUP($B$8,écransP!$A:$BB,P$48,0)=0,"-",VLOOKUP($B$8,écransP!$A:$BB,P$48,0))</f>
        <v>337</v>
      </c>
      <c r="Q51" s="4">
        <f>IF(VLOOKUP($B$8,écransP!$A:$BB,Q$48,0)=0,"-",VLOOKUP($B$8,écransP!$A:$BB,Q$48,0))</f>
        <v>324</v>
      </c>
      <c r="R51" s="4">
        <f>IF(VLOOKUP($B$8,écransP!$A:$BB,R$48,0)=0,"-",VLOOKUP($B$8,écransP!$A:$BB,R$48,0))</f>
        <v>446</v>
      </c>
      <c r="S51" s="4">
        <f>IF(VLOOKUP($B$8,écransP!$A:$BB,S$48,0)=0,"-",VLOOKUP($B$8,écransP!$A:$BB,S$48,0))</f>
        <v>388</v>
      </c>
      <c r="T51" s="4">
        <f>IF(VLOOKUP($B$8,écransP!$A:$BB,T$48,0)=0,"-",VLOOKUP($B$8,écransP!$A:$BB,T$48,0))</f>
        <v>356</v>
      </c>
      <c r="U51" s="4">
        <f>IF(VLOOKUP($B$8,écransP!$A:$BB,U$48,0)=0,"-",VLOOKUP($B$8,écransP!$A:$BB,U$48,0))</f>
        <v>351</v>
      </c>
      <c r="V51" s="4"/>
      <c r="W51" s="4"/>
      <c r="X51" s="4"/>
      <c r="Y51" s="4"/>
      <c r="Z51" s="4"/>
      <c r="AA51" s="4"/>
      <c r="AB51" s="46"/>
      <c r="AC51" s="46"/>
      <c r="AD51" s="46"/>
      <c r="AE51" s="46"/>
      <c r="AF51" s="46"/>
      <c r="AG51" s="46"/>
      <c r="AH51" s="46"/>
      <c r="AI51" s="46"/>
      <c r="AJ51" s="46"/>
      <c r="AK51" s="46"/>
      <c r="AL51" s="46"/>
      <c r="AM51" s="46"/>
      <c r="AN51" s="46"/>
      <c r="AO51" s="46"/>
      <c r="AP51" s="46"/>
      <c r="AQ51" s="46"/>
      <c r="AR51" s="46"/>
      <c r="AS51" s="46"/>
      <c r="AT51" s="46"/>
      <c r="AU51" s="46"/>
    </row>
    <row r="52" spans="1:48" x14ac:dyDescent="0.2">
      <c r="A52" s="46" t="s">
        <v>58</v>
      </c>
      <c r="B52" s="57">
        <f>IF(VLOOKUP($B$8,fauteuilsP!$A:$BB,B$48,0)=0,"-",VLOOKUP($B$8,fauteuilsP!$A:$BB,B$48,0))</f>
        <v>58814</v>
      </c>
      <c r="C52" s="57">
        <f>IF(VLOOKUP($B$8,fauteuilsP!$A:$BB,C$48,0)=0,"-",VLOOKUP($B$8,fauteuilsP!$A:$BB,C$48,0))</f>
        <v>59729</v>
      </c>
      <c r="D52" s="57">
        <f>IF(VLOOKUP($B$8,fauteuilsP!$A:$BB,D$48,0)=0,"-",VLOOKUP($B$8,fauteuilsP!$A:$BB,D$48,0))</f>
        <v>59552</v>
      </c>
      <c r="E52" s="57">
        <f>IF(VLOOKUP($B$8,fauteuilsP!$A:$BB,E$48,0)=0,"-",VLOOKUP($B$8,fauteuilsP!$A:$BB,E$48,0))</f>
        <v>57195</v>
      </c>
      <c r="F52" s="57">
        <f>IF(VLOOKUP($B$8,fauteuilsP!$A:$BB,F$48,0)=0,"-",VLOOKUP($B$8,fauteuilsP!$A:$BB,F$48,0))</f>
        <v>59594</v>
      </c>
      <c r="G52" s="57">
        <f>IF(VLOOKUP($B$8,fauteuilsP!$A:$BB,G$48,0)=0,"-",VLOOKUP($B$8,fauteuilsP!$A:$BB,G$48,0))</f>
        <v>59802</v>
      </c>
      <c r="H52" s="57">
        <f>IF(VLOOKUP($B$8,fauteuilsP!$A:$BB,H$48,0)=0,"-",VLOOKUP($B$8,fauteuilsP!$A:$BB,H$48,0))</f>
        <v>58731</v>
      </c>
      <c r="I52" s="57">
        <f>IF(VLOOKUP($B$8,fauteuilsP!$A:$BB,I$48,0)=0,"-",VLOOKUP($B$8,fauteuilsP!$A:$BB,I$48,0))</f>
        <v>58938</v>
      </c>
      <c r="J52" s="57">
        <f>IF(VLOOKUP($B$8,fauteuilsP!$A:$BB,J$48,0)=0,"-",VLOOKUP($B$8,fauteuilsP!$A:$BB,J$48,0))</f>
        <v>56233</v>
      </c>
      <c r="K52" s="57">
        <f>IF(VLOOKUP($B$8,fauteuilsP!$A:$BB,K$48,0)=0,"-",VLOOKUP($B$8,fauteuilsP!$A:$BB,K$48,0))</f>
        <v>56223</v>
      </c>
      <c r="L52" s="57">
        <f>IF(VLOOKUP($B$8,fauteuilsP!$A:$BB,L$48,0)=0,"-",VLOOKUP($B$8,fauteuilsP!$A:$BB,L$48,0))</f>
        <v>53886</v>
      </c>
      <c r="M52" s="57">
        <f>IF(VLOOKUP($B$8,fauteuilsP!$A:$BB,M$48,0)=0,"-",VLOOKUP($B$8,fauteuilsP!$A:$BB,M$48,0))</f>
        <v>55526</v>
      </c>
      <c r="N52" s="57">
        <f>IF(VLOOKUP($B$8,fauteuilsP!$A:$BB,N$48,0)=0,"-",VLOOKUP($B$8,fauteuilsP!$A:$BB,N$48,0))</f>
        <v>53670</v>
      </c>
      <c r="O52" s="57">
        <f>IF(VLOOKUP($B$8,fauteuilsP!$A:$BB,O$48,0)=0,"-",VLOOKUP($B$8,fauteuilsP!$A:$BB,O$48,0))</f>
        <v>54725</v>
      </c>
      <c r="P52" s="57">
        <f>IF(VLOOKUP($B$8,fauteuilsP!$A:$BB,P$48,0)=0,"-",VLOOKUP($B$8,fauteuilsP!$A:$BB,P$48,0))</f>
        <v>56584</v>
      </c>
      <c r="Q52" s="57">
        <f>IF(VLOOKUP($B$8,fauteuilsP!$A:$BB,Q$48,0)=0,"-",VLOOKUP($B$8,fauteuilsP!$A:$BB,Q$48,0))</f>
        <v>53825</v>
      </c>
      <c r="R52" s="57">
        <f>IF(VLOOKUP($B$8,fauteuilsP!$A:$BB,R$48,0)=0,"-",VLOOKUP($B$8,fauteuilsP!$A:$BB,R$48,0))</f>
        <v>72121</v>
      </c>
      <c r="S52" s="57">
        <f>IF(VLOOKUP($B$8,fauteuilsP!$A:$BB,S$48,0)=0,"-",VLOOKUP($B$8,fauteuilsP!$A:$BB,S$48,0))</f>
        <v>62776</v>
      </c>
      <c r="T52" s="57">
        <f>IF(VLOOKUP($B$8,fauteuilsP!$A:$BB,T$48,0)=0,"-",VLOOKUP($B$8,fauteuilsP!$A:$BB,T$48,0))</f>
        <v>58367</v>
      </c>
      <c r="U52" s="57">
        <f>IF(VLOOKUP($B$8,fauteuilsP!$A:$BB,U$48,0)=0,"-",VLOOKUP($B$8,fauteuilsP!$A:$BB,U$48,0))</f>
        <v>57158</v>
      </c>
      <c r="V52" s="4"/>
      <c r="W52" s="4"/>
      <c r="X52" s="4"/>
      <c r="Y52" s="4"/>
      <c r="Z52" s="4"/>
      <c r="AA52" s="4"/>
      <c r="AB52" s="46"/>
      <c r="AC52" s="46"/>
      <c r="AD52" s="46"/>
      <c r="AE52" s="46"/>
      <c r="AF52" s="46"/>
      <c r="AG52" s="46"/>
      <c r="AH52" s="46"/>
      <c r="AI52" s="46"/>
      <c r="AJ52" s="46"/>
      <c r="AK52" s="46"/>
      <c r="AL52" s="46"/>
      <c r="AM52" s="46"/>
      <c r="AN52" s="46"/>
      <c r="AO52" s="46"/>
      <c r="AP52" s="46"/>
      <c r="AQ52" s="46"/>
      <c r="AR52" s="46"/>
      <c r="AS52" s="46"/>
      <c r="AT52" s="46"/>
      <c r="AU52" s="46"/>
    </row>
    <row r="53" spans="1:48" x14ac:dyDescent="0.2">
      <c r="A53" s="46" t="s">
        <v>65</v>
      </c>
      <c r="B53" s="63">
        <f>IF(VLOOKUP($B$8,séancesP!$A:$BB,B$48,0)=0,"-",VLOOKUP($B$8,séancesP!$A:$BB,B$48,0))</f>
        <v>152708</v>
      </c>
      <c r="C53" s="63">
        <f>IF(VLOOKUP($B$8,séancesP!$A:$BB,C$48,0)=0,"-",VLOOKUP($B$8,séancesP!$A:$BB,C$48,0))</f>
        <v>159789</v>
      </c>
      <c r="D53" s="63">
        <f>IF(VLOOKUP($B$8,séancesP!$A:$BB,D$48,0)=0,"-",VLOOKUP($B$8,séancesP!$A:$BB,D$48,0))</f>
        <v>160408</v>
      </c>
      <c r="E53" s="63">
        <f>IF(VLOOKUP($B$8,séancesP!$A:$BB,E$48,0)=0,"-",VLOOKUP($B$8,séancesP!$A:$BB,E$48,0))</f>
        <v>155513</v>
      </c>
      <c r="F53" s="63">
        <f>IF(VLOOKUP($B$8,séancesP!$A:$BB,F$48,0)=0,"-",VLOOKUP($B$8,séancesP!$A:$BB,F$48,0))</f>
        <v>164944</v>
      </c>
      <c r="G53" s="63">
        <f>IF(VLOOKUP($B$8,séancesP!$A:$BB,G$48,0)=0,"-",VLOOKUP($B$8,séancesP!$A:$BB,G$48,0))</f>
        <v>170119</v>
      </c>
      <c r="H53" s="63">
        <f>IF(VLOOKUP($B$8,séancesP!$A:$BB,H$48,0)=0,"-",VLOOKUP($B$8,séancesP!$A:$BB,H$48,0))</f>
        <v>170944</v>
      </c>
      <c r="I53" s="63">
        <f>IF(VLOOKUP($B$8,séancesP!$A:$BB,I$48,0)=0,"-",VLOOKUP($B$8,séancesP!$A:$BB,I$48,0))</f>
        <v>174418</v>
      </c>
      <c r="J53" s="63">
        <f>IF(VLOOKUP($B$8,séancesP!$A:$BB,J$48,0)=0,"-",VLOOKUP($B$8,séancesP!$A:$BB,J$48,0))</f>
        <v>173743</v>
      </c>
      <c r="K53" s="63">
        <f>IF(VLOOKUP($B$8,séancesP!$A:$BB,K$48,0)=0,"-",VLOOKUP($B$8,séancesP!$A:$BB,K$48,0))</f>
        <v>182250</v>
      </c>
      <c r="L53" s="63">
        <f>IF(VLOOKUP($B$8,séancesP!$A:$BB,L$48,0)=0,"-",VLOOKUP($B$8,séancesP!$A:$BB,L$48,0))</f>
        <v>189883</v>
      </c>
      <c r="M53" s="63">
        <f>IF(VLOOKUP($B$8,séancesP!$A:$BB,M$48,0)=0,"-",VLOOKUP($B$8,séancesP!$A:$BB,M$48,0))</f>
        <v>198307</v>
      </c>
      <c r="N53" s="63">
        <f>IF(VLOOKUP($B$8,séancesP!$A:$BB,N$48,0)=0,"-",VLOOKUP($B$8,séancesP!$A:$BB,N$48,0))</f>
        <v>202201</v>
      </c>
      <c r="O53" s="63">
        <f>IF(VLOOKUP($B$8,séancesP!$A:$BB,O$48,0)=0,"-",VLOOKUP($B$8,séancesP!$A:$BB,O$48,0))</f>
        <v>203148</v>
      </c>
      <c r="P53" s="63">
        <f>IF(VLOOKUP($B$8,séancesP!$A:$BB,P$48,0)=0,"-",VLOOKUP($B$8,séancesP!$A:$BB,P$48,0))</f>
        <v>217502</v>
      </c>
      <c r="Q53" s="63">
        <f>IF(VLOOKUP($B$8,séancesP!$A:$BB,Q$48,0)=0,"-",VLOOKUP($B$8,séancesP!$A:$BB,Q$48,0))</f>
        <v>212787</v>
      </c>
      <c r="R53" s="63">
        <f>IF(VLOOKUP($B$8,séancesP!$A:$BB,R$48,0)=0,"-",VLOOKUP($B$8,séancesP!$A:$BB,R$48,0))</f>
        <v>188388</v>
      </c>
      <c r="S53" s="63">
        <f>IF(VLOOKUP($B$8,séancesP!$A:$BB,S$48,0)=0,"-",VLOOKUP($B$8,séancesP!$A:$BB,S$48,0))</f>
        <v>174995</v>
      </c>
      <c r="T53" s="63">
        <f>IF(VLOOKUP($B$8,séancesP!$A:$BB,T$48,0)=0,"-",VLOOKUP($B$8,séancesP!$A:$BB,T$48,0))</f>
        <v>248148</v>
      </c>
      <c r="U53" s="63">
        <f>IF(VLOOKUP($B$8,séancesP!$A:$BB,U$48,0)=0,"-",VLOOKUP($B$8,séancesP!$A:$BB,U$48,0))</f>
        <v>229332</v>
      </c>
      <c r="V53" s="4"/>
      <c r="W53" s="4"/>
      <c r="X53" s="4"/>
      <c r="Y53" s="4"/>
      <c r="Z53" s="4"/>
      <c r="AA53" s="4"/>
      <c r="AB53" s="46"/>
      <c r="AC53" s="46"/>
      <c r="AD53" s="46"/>
      <c r="AE53" s="46"/>
      <c r="AF53" s="46"/>
      <c r="AG53" s="46"/>
      <c r="AH53" s="46"/>
      <c r="AI53" s="46"/>
      <c r="AJ53" s="46"/>
      <c r="AK53" s="46"/>
      <c r="AL53" s="46"/>
      <c r="AM53" s="46"/>
      <c r="AN53" s="46"/>
      <c r="AO53" s="46"/>
      <c r="AP53" s="46"/>
      <c r="AQ53" s="46"/>
      <c r="AR53" s="46"/>
      <c r="AS53" s="46"/>
      <c r="AT53" s="46"/>
      <c r="AU53" s="46"/>
    </row>
    <row r="54" spans="1:48" x14ac:dyDescent="0.2">
      <c r="A54" s="46" t="s">
        <v>59</v>
      </c>
      <c r="B54" s="58">
        <f>IF(VLOOKUP($B$8,entréesP!$A:$BB,B$48,0)=0,"-",VLOOKUP($B$8,entréesP!$A:$BB,B$48,0))</f>
        <v>5154994</v>
      </c>
      <c r="C54" s="58">
        <f>IF(VLOOKUP($B$8,entréesP!$A:$BB,C$48,0)=0,"-",VLOOKUP($B$8,entréesP!$A:$BB,C$48,0))</f>
        <v>4603050</v>
      </c>
      <c r="D54" s="58">
        <f>IF(VLOOKUP($B$8,entréesP!$A:$BB,D$48,0)=0,"-",VLOOKUP($B$8,entréesP!$A:$BB,D$48,0))</f>
        <v>5063518</v>
      </c>
      <c r="E54" s="58">
        <f>IF(VLOOKUP($B$8,entréesP!$A:$BB,E$48,0)=0,"-",VLOOKUP($B$8,entréesP!$A:$BB,E$48,0))</f>
        <v>4609782</v>
      </c>
      <c r="F54" s="58">
        <f>IF(VLOOKUP($B$8,entréesP!$A:$BB,F$48,0)=0,"-",VLOOKUP($B$8,entréesP!$A:$BB,F$48,0))</f>
        <v>4775050</v>
      </c>
      <c r="G54" s="58">
        <f>IF(VLOOKUP($B$8,entréesP!$A:$BB,G$48,0)=0,"-",VLOOKUP($B$8,entréesP!$A:$BB,G$48,0))</f>
        <v>4762755</v>
      </c>
      <c r="H54" s="58">
        <f>IF(VLOOKUP($B$8,entréesP!$A:$BB,H$48,0)=0,"-",VLOOKUP($B$8,entréesP!$A:$BB,H$48,0))</f>
        <v>4657782</v>
      </c>
      <c r="I54" s="58">
        <f>IF(VLOOKUP($B$8,entréesP!$A:$BB,I$48,0)=0,"-",VLOOKUP($B$8,entréesP!$A:$BB,I$48,0))</f>
        <v>4981750</v>
      </c>
      <c r="J54" s="58">
        <f>IF(VLOOKUP($B$8,entréesP!$A:$BB,J$48,0)=0,"-",VLOOKUP($B$8,entréesP!$A:$BB,J$48,0))</f>
        <v>4343298</v>
      </c>
      <c r="K54" s="58">
        <f>IF(VLOOKUP($B$8,entréesP!$A:$BB,K$48,0)=0,"-",VLOOKUP($B$8,entréesP!$A:$BB,K$48,0))</f>
        <v>4261838</v>
      </c>
      <c r="L54" s="58">
        <f>IF(VLOOKUP($B$8,entréesP!$A:$BB,L$48,0)=0,"-",VLOOKUP($B$8,entréesP!$A:$BB,L$48,0))</f>
        <v>4684628</v>
      </c>
      <c r="M54" s="58">
        <f>IF(VLOOKUP($B$8,entréesP!$A:$BB,M$48,0)=0,"-",VLOOKUP($B$8,entréesP!$A:$BB,M$48,0))</f>
        <v>4800174</v>
      </c>
      <c r="N54" s="58">
        <f>IF(VLOOKUP($B$8,entréesP!$A:$BB,N$48,0)=0,"-",VLOOKUP($B$8,entréesP!$A:$BB,N$48,0))</f>
        <v>5069481</v>
      </c>
      <c r="O54" s="58">
        <f>IF(VLOOKUP($B$8,entréesP!$A:$BB,O$48,0)=0,"-",VLOOKUP($B$8,entréesP!$A:$BB,O$48,0))</f>
        <v>4886996</v>
      </c>
      <c r="P54" s="58">
        <f>IF(VLOOKUP($B$8,entréesP!$A:$BB,P$48,0)=0,"-",VLOOKUP($B$8,entréesP!$A:$BB,P$48,0))</f>
        <v>5074537</v>
      </c>
      <c r="Q54" s="58">
        <f>IF(VLOOKUP($B$8,entréesP!$A:$BB,Q$48,0)=0,"-",VLOOKUP($B$8,entréesP!$A:$BB,Q$48,0))</f>
        <v>5154645</v>
      </c>
      <c r="R54" s="58">
        <f>IF(VLOOKUP($B$8,entréesP!$A:$BB,R$48,0)=0,"-",VLOOKUP($B$8,entréesP!$A:$BB,R$48,0))</f>
        <v>2833714</v>
      </c>
      <c r="S54" s="58">
        <f>IF(VLOOKUP($B$8,entréesP!$A:$BB,S$48,0)=0,"-",VLOOKUP($B$8,entréesP!$A:$BB,S$48,0))</f>
        <v>3156366</v>
      </c>
      <c r="T54" s="58">
        <f>IF(VLOOKUP($B$8,entréesP!$A:$BB,T$48,0)=0,"-",VLOOKUP($B$8,entréesP!$A:$BB,T$48,0))</f>
        <v>4603847</v>
      </c>
      <c r="U54" s="58">
        <f>IF(VLOOKUP($B$8,entréesP!$A:$BB,U$48,0)=0,"-",VLOOKUP($B$8,entréesP!$A:$BB,U$48,0))</f>
        <v>4968513</v>
      </c>
      <c r="V54" s="4"/>
      <c r="W54" s="4"/>
      <c r="X54" s="4"/>
      <c r="Y54" s="4"/>
      <c r="Z54" s="4"/>
      <c r="AA54" s="4"/>
      <c r="AB54" s="46"/>
      <c r="AC54" s="46"/>
      <c r="AD54" s="46"/>
      <c r="AE54" s="46"/>
      <c r="AF54" s="46"/>
      <c r="AG54" s="46"/>
      <c r="AH54" s="46"/>
      <c r="AI54" s="46"/>
      <c r="AJ54" s="46"/>
      <c r="AK54" s="46"/>
      <c r="AL54" s="46"/>
      <c r="AM54" s="46"/>
      <c r="AN54" s="46"/>
      <c r="AO54" s="46"/>
      <c r="AP54" s="46"/>
      <c r="AQ54" s="46"/>
      <c r="AR54" s="46"/>
      <c r="AS54" s="46"/>
      <c r="AT54" s="46"/>
      <c r="AU54" s="46"/>
    </row>
    <row r="55" spans="1:48" x14ac:dyDescent="0.2">
      <c r="A55" s="46" t="s">
        <v>60</v>
      </c>
      <c r="B55" s="58">
        <f>IF(VLOOKUP($B$8,recettesP!$A:$BB,B$48,0)=0,"-",VLOOKUP($B$8,recettesP!$A:$BB,B$48,0))</f>
        <v>26041889</v>
      </c>
      <c r="C55" s="58">
        <f>IF(VLOOKUP($B$8,recettesP!$A:$BB,C$48,0)=0,"-",VLOOKUP($B$8,recettesP!$A:$BB,C$48,0))</f>
        <v>23256302</v>
      </c>
      <c r="D55" s="58">
        <f>IF(VLOOKUP($B$8,recettesP!$A:$BB,D$48,0)=0,"-",VLOOKUP($B$8,recettesP!$A:$BB,D$48,0))</f>
        <v>26179286</v>
      </c>
      <c r="E55" s="58">
        <f>IF(VLOOKUP($B$8,recettesP!$A:$BB,E$48,0)=0,"-",VLOOKUP($B$8,recettesP!$A:$BB,E$48,0))</f>
        <v>23843335</v>
      </c>
      <c r="F55" s="58">
        <f>IF(VLOOKUP($B$8,recettesP!$A:$BB,F$48,0)=0,"-",VLOOKUP($B$8,recettesP!$A:$BB,F$48,0))</f>
        <v>25136548</v>
      </c>
      <c r="G55" s="58">
        <f>IF(VLOOKUP($B$8,recettesP!$A:$BB,G$48,0)=0,"-",VLOOKUP($B$8,recettesP!$A:$BB,G$48,0))</f>
        <v>24731128</v>
      </c>
      <c r="H55" s="58">
        <f>IF(VLOOKUP($B$8,recettesP!$A:$BB,H$48,0)=0,"-",VLOOKUP($B$8,recettesP!$A:$BB,H$48,0))</f>
        <v>24380093</v>
      </c>
      <c r="I55" s="58">
        <f>IF(VLOOKUP($B$8,recettesP!$A:$BB,I$48,0)=0,"-",VLOOKUP($B$8,recettesP!$A:$BB,I$48,0))</f>
        <v>26511323</v>
      </c>
      <c r="J55" s="58">
        <f>IF(VLOOKUP($B$8,recettesP!$A:$BB,J$48,0)=0,"-",VLOOKUP($B$8,recettesP!$A:$BB,J$48,0))</f>
        <v>22991721</v>
      </c>
      <c r="K55" s="58">
        <f>IF(VLOOKUP($B$8,recettesP!$A:$BB,K$48,0)=0,"-",VLOOKUP($B$8,recettesP!$A:$BB,K$48,0))</f>
        <v>22301129</v>
      </c>
      <c r="L55" s="58">
        <f>IF(VLOOKUP($B$8,recettesP!$A:$BB,L$48,0)=0,"-",VLOOKUP($B$8,recettesP!$A:$BB,L$48,0))</f>
        <v>24281271</v>
      </c>
      <c r="M55" s="58">
        <f>IF(VLOOKUP($B$8,recettesP!$A:$BB,M$48,0)=0,"-",VLOOKUP($B$8,recettesP!$A:$BB,M$48,0))</f>
        <v>24809604</v>
      </c>
      <c r="N55" s="58">
        <f>IF(VLOOKUP($B$8,recettesP!$A:$BB,N$48,0)=0,"-",VLOOKUP($B$8,recettesP!$A:$BB,N$48,0))</f>
        <v>26353558</v>
      </c>
      <c r="O55" s="58">
        <f>IF(VLOOKUP($B$8,recettesP!$A:$BB,O$48,0)=0,"-",VLOOKUP($B$8,recettesP!$A:$BB,O$48,0))</f>
        <v>25340837</v>
      </c>
      <c r="P55" s="58">
        <f>IF(VLOOKUP($B$8,recettesP!$A:$BB,P$48,0)=0,"-",VLOOKUP($B$8,recettesP!$A:$BB,P$48,0))</f>
        <v>26350969</v>
      </c>
      <c r="Q55" s="58">
        <f>IF(VLOOKUP($B$8,recettesP!$A:$BB,Q$48,0)=0,"-",VLOOKUP($B$8,recettesP!$A:$BB,Q$48,0))</f>
        <v>26964806</v>
      </c>
      <c r="R55" s="58">
        <f>IF(VLOOKUP($B$8,recettesP!$A:$BB,R$48,0)=0,"-",VLOOKUP($B$8,recettesP!$A:$BB,R$48,0))</f>
        <v>15811075</v>
      </c>
      <c r="S55" s="58">
        <f>IF(VLOOKUP($B$8,recettesP!$A:$BB,S$48,0)=0,"-",VLOOKUP($B$8,recettesP!$A:$BB,S$48,0))</f>
        <v>17408238</v>
      </c>
      <c r="T55" s="58">
        <f>IF(VLOOKUP($B$8,recettesP!$A:$BB,T$48,0)=0,"-",VLOOKUP($B$8,recettesP!$A:$BB,T$48,0))</f>
        <v>24283971</v>
      </c>
      <c r="U55" s="58">
        <f>IF(VLOOKUP($B$8,recettesP!$A:$BB,U$48,0)=0,"-",VLOOKUP($B$8,recettesP!$A:$BB,U$48,0))</f>
        <v>26838867</v>
      </c>
      <c r="V55" s="4"/>
      <c r="W55" s="4"/>
      <c r="X55" s="4"/>
      <c r="Y55" s="4"/>
      <c r="Z55" s="4"/>
      <c r="AA55" s="4"/>
      <c r="AB55" s="46"/>
      <c r="AC55" s="46"/>
      <c r="AD55" s="46"/>
      <c r="AE55" s="46"/>
      <c r="AF55" s="46"/>
      <c r="AG55" s="46"/>
      <c r="AH55" s="46"/>
      <c r="AI55" s="46"/>
      <c r="AJ55" s="46"/>
      <c r="AK55" s="46"/>
      <c r="AL55" s="46"/>
      <c r="AM55" s="46"/>
      <c r="AN55" s="46"/>
      <c r="AO55" s="46"/>
      <c r="AP55" s="46"/>
      <c r="AQ55" s="46"/>
      <c r="AR55" s="46"/>
      <c r="AS55" s="46"/>
      <c r="AT55" s="46"/>
      <c r="AU55" s="46"/>
    </row>
    <row r="56" spans="1:48" x14ac:dyDescent="0.2">
      <c r="A56" s="46" t="s">
        <v>61</v>
      </c>
      <c r="B56" s="65">
        <f>IF(VLOOKUP($B$8,RMEP!$A:$BB,B$48,0)=0,"-",VLOOKUP($B$8,RMEP!$A:$BB,B$48,0))</f>
        <v>5.0517787217599093</v>
      </c>
      <c r="C56" s="65">
        <f>IF(VLOOKUP($B$8,RMEP!$A:$BB,C$48,0)=0,"-",VLOOKUP($B$8,RMEP!$A:$BB,C$48,0))</f>
        <v>5.052367886510031</v>
      </c>
      <c r="D56" s="65">
        <f>IF(VLOOKUP($B$8,RMEP!$A:$BB,D$48,0)=0,"-",VLOOKUP($B$8,RMEP!$A:$BB,D$48,0))</f>
        <v>5.170177335204496</v>
      </c>
      <c r="E56" s="65">
        <f>IF(VLOOKUP($B$8,RMEP!$A:$BB,E$48,0)=0,"-",VLOOKUP($B$8,RMEP!$A:$BB,E$48,0))</f>
        <v>5.1723346136541819</v>
      </c>
      <c r="F56" s="65">
        <f>IF(VLOOKUP($B$8,RMEP!$A:$BB,F$48,0)=0,"-",VLOOKUP($B$8,RMEP!$A:$BB,F$48,0))</f>
        <v>5.2641434121108679</v>
      </c>
      <c r="G56" s="65">
        <f>IF(VLOOKUP($B$8,RMEP!$A:$BB,G$48,0)=0,"-",VLOOKUP($B$8,RMEP!$A:$BB,G$48,0))</f>
        <v>5.1926097395310071</v>
      </c>
      <c r="H56" s="65">
        <f>IF(VLOOKUP($B$8,RMEP!$A:$BB,H$48,0)=0,"-",VLOOKUP($B$8,RMEP!$A:$BB,H$48,0))</f>
        <v>5.2342709469872144</v>
      </c>
      <c r="I56" s="65">
        <f>IF(VLOOKUP($B$8,RMEP!$A:$BB,I$48,0)=0,"-",VLOOKUP($B$8,RMEP!$A:$BB,I$48,0))</f>
        <v>5.3216887639885586</v>
      </c>
      <c r="J56" s="65">
        <f>IF(VLOOKUP($B$8,RMEP!$A:$BB,J$48,0)=0,"-",VLOOKUP($B$8,RMEP!$A:$BB,J$48,0))</f>
        <v>5.2936089119374268</v>
      </c>
      <c r="K56" s="65">
        <f>IF(VLOOKUP($B$8,RMEP!$A:$BB,K$48,0)=0,"-",VLOOKUP($B$8,RMEP!$A:$BB,K$48,0))</f>
        <v>5.232749109656444</v>
      </c>
      <c r="L56" s="65">
        <f>IF(VLOOKUP($B$8,RMEP!$A:$BB,L$48,0)=0,"-",VLOOKUP($B$8,RMEP!$A:$BB,L$48,0))</f>
        <v>5.1831801799417159</v>
      </c>
      <c r="M56" s="65">
        <f>IF(VLOOKUP($B$8,RMEP!$A:$BB,M$48,0)=0,"-",VLOOKUP($B$8,RMEP!$A:$BB,M$48,0))</f>
        <v>5.1684801425948308</v>
      </c>
      <c r="N56" s="65">
        <f>IF(VLOOKUP($B$8,RMEP!$A:$BB,N$48,0)=0,"-",VLOOKUP($B$8,RMEP!$A:$BB,N$48,0))</f>
        <v>5.1984725852607001</v>
      </c>
      <c r="O56" s="65">
        <f>IF(VLOOKUP($B$8,RMEP!$A:$BB,O$48,0)=0,"-",VLOOKUP($B$8,RMEP!$A:$BB,O$48,0))</f>
        <v>5.1853607001110706</v>
      </c>
      <c r="P56" s="65">
        <f>IF(VLOOKUP($B$8,RMEP!$A:$BB,P$48,0)=0,"-",VLOOKUP($B$8,RMEP!$A:$BB,P$48,0))</f>
        <v>5.1927829080761461</v>
      </c>
      <c r="Q56" s="65">
        <f>IF(VLOOKUP($B$8,RMEP!$A:$BB,Q$48,0)=0,"-",VLOOKUP($B$8,RMEP!$A:$BB,Q$48,0))</f>
        <v>5.2311664527819079</v>
      </c>
      <c r="R56" s="65">
        <f>IF(VLOOKUP($B$8,RMEP!$A:$BB,R$48,0)=0,"-",VLOOKUP($B$8,RMEP!$A:$BB,R$48,0))</f>
        <v>5.5796297720941492</v>
      </c>
      <c r="S56" s="65">
        <f>IF(VLOOKUP($B$8,RMEP!$A:$BB,S$48,0)=0,"-",VLOOKUP($B$8,RMEP!$A:$BB,S$48,0))</f>
        <v>5.5152786463927184</v>
      </c>
      <c r="T56" s="65">
        <f>IF(VLOOKUP($B$8,RMEP!$A:$BB,T$48,0)=0,"-",VLOOKUP($B$8,RMEP!$A:$BB,T$48,0))</f>
        <v>5.2747128651321384</v>
      </c>
      <c r="U56" s="65">
        <f>IF(VLOOKUP($B$8,RMEP!$A:$BB,U$48,0)=0,"-",VLOOKUP($B$8,RMEP!$A:$BB,U$48,0))</f>
        <v>5.4017906363533719</v>
      </c>
      <c r="V56" s="4"/>
      <c r="W56" s="4"/>
      <c r="X56" s="4"/>
      <c r="Y56" s="4"/>
      <c r="Z56" s="4"/>
      <c r="AA56" s="4"/>
      <c r="AB56" s="46"/>
      <c r="AC56" s="46"/>
      <c r="AD56" s="46"/>
      <c r="AE56" s="46"/>
      <c r="AF56" s="46"/>
      <c r="AG56" s="46"/>
      <c r="AH56" s="46"/>
      <c r="AI56" s="46"/>
      <c r="AJ56" s="46"/>
      <c r="AK56" s="46"/>
      <c r="AL56" s="46"/>
      <c r="AM56" s="46"/>
      <c r="AN56" s="46"/>
      <c r="AO56" s="46"/>
      <c r="AP56" s="46"/>
      <c r="AQ56" s="46"/>
      <c r="AR56" s="46"/>
      <c r="AS56" s="46"/>
      <c r="AT56" s="46"/>
      <c r="AU56" s="46"/>
    </row>
    <row r="57" spans="1:48" x14ac:dyDescent="0.2">
      <c r="A57" s="46" t="s">
        <v>62</v>
      </c>
      <c r="B57" s="65">
        <f>IF(VLOOKUP($B$8,'indice de fréquentationP'!$A:$BB,B$48,0)=0,"-",VLOOKUP($B$8,'indice de fréquentationP'!$A:$BB,B$48,0))</f>
        <v>0.70067040167693528</v>
      </c>
      <c r="C57" s="65">
        <f>IF(VLOOKUP($B$8,'indice de fréquentationP'!$A:$BB,C$48,0)=0,"-",VLOOKUP($B$8,'indice de fréquentationP'!$A:$BB,C$48,0))</f>
        <v>0.5579112359896472</v>
      </c>
      <c r="D57" s="65">
        <f>IF(VLOOKUP($B$8,'indice de fréquentationP'!$A:$BB,D$48,0)=0,"-",VLOOKUP($B$8,'indice de fréquentationP'!$A:$BB,D$48,0))</f>
        <v>0.61372211595264581</v>
      </c>
      <c r="E57" s="65">
        <f>IF(VLOOKUP($B$8,'indice de fréquentationP'!$A:$BB,E$48,0)=0,"-",VLOOKUP($B$8,'indice de fréquentationP'!$A:$BB,E$48,0))</f>
        <v>0.5587271859447166</v>
      </c>
      <c r="F57" s="65">
        <f>IF(VLOOKUP($B$8,'indice de fréquentationP'!$A:$BB,F$48,0)=0,"-",VLOOKUP($B$8,'indice de fréquentationP'!$A:$BB,F$48,0))</f>
        <v>0.57875844220948391</v>
      </c>
      <c r="G57" s="65">
        <f>IF(VLOOKUP($B$8,'indice de fréquentationP'!$A:$BB,G$48,0)=0,"-",VLOOKUP($B$8,'indice de fréquentationP'!$A:$BB,G$48,0))</f>
        <v>0.57726823057882748</v>
      </c>
      <c r="H57" s="65">
        <f>IF(VLOOKUP($B$8,'indice de fréquentationP'!$A:$BB,H$48,0)=0,"-",VLOOKUP($B$8,'indice de fréquentationP'!$A:$BB,H$48,0))</f>
        <v>0.56454501093629894</v>
      </c>
      <c r="I57" s="65">
        <f>IF(VLOOKUP($B$8,'indice de fréquentationP'!$A:$BB,I$48,0)=0,"-",VLOOKUP($B$8,'indice de fréquentationP'!$A:$BB,I$48,0))</f>
        <v>0.60381145107948531</v>
      </c>
      <c r="J57" s="65">
        <f>IF(VLOOKUP($B$8,'indice de fréquentationP'!$A:$BB,J$48,0)=0,"-",VLOOKUP($B$8,'indice de fréquentationP'!$A:$BB,J$48,0))</f>
        <v>0.52642807604769937</v>
      </c>
      <c r="K57" s="65">
        <f>IF(VLOOKUP($B$8,'indice de fréquentationP'!$A:$BB,K$48,0)=0,"-",VLOOKUP($B$8,'indice de fréquentationP'!$A:$BB,K$48,0))</f>
        <v>0.51655474221823483</v>
      </c>
      <c r="L57" s="65">
        <f>IF(VLOOKUP($B$8,'indice de fréquentationP'!$A:$BB,L$48,0)=0,"-",VLOOKUP($B$8,'indice de fréquentationP'!$A:$BB,L$48,0))</f>
        <v>0.56779887197221601</v>
      </c>
      <c r="M57" s="65">
        <f>IF(VLOOKUP($B$8,'indice de fréquentationP'!$A:$BB,M$48,0)=0,"-",VLOOKUP($B$8,'indice de fréquentationP'!$A:$BB,M$48,0))</f>
        <v>0.58180358877382798</v>
      </c>
      <c r="N57" s="65">
        <f>IF(VLOOKUP($B$8,'indice de fréquentationP'!$A:$BB,N$48,0)=0,"-",VLOOKUP($B$8,'indice de fréquentationP'!$A:$BB,N$48,0))</f>
        <v>0.61444485950316263</v>
      </c>
      <c r="O57" s="65">
        <f>IF(VLOOKUP($B$8,'indice de fréquentationP'!$A:$BB,O$48,0)=0,"-",VLOOKUP($B$8,'indice de fréquentationP'!$A:$BB,O$48,0))</f>
        <v>0.59232682213672716</v>
      </c>
      <c r="P57" s="65">
        <f>IF(VLOOKUP($B$8,'indice de fréquentationP'!$A:$BB,P$48,0)=0,"-",VLOOKUP($B$8,'indice de fréquentationP'!$A:$BB,P$48,0))</f>
        <v>0.61505767040227588</v>
      </c>
      <c r="Q57" s="65">
        <f>IF(VLOOKUP($B$8,'indice de fréquentationP'!$A:$BB,Q$48,0)=0,"-",VLOOKUP($B$8,'indice de fréquentationP'!$A:$BB,Q$48,0))</f>
        <v>0.6247671354944776</v>
      </c>
      <c r="R57" s="65">
        <f>IF(VLOOKUP($B$8,'indice de fréquentationP'!$A:$BB,R$48,0)=0,"-",VLOOKUP($B$8,'indice de fréquentationP'!$A:$BB,R$48,0))</f>
        <v>0.34345941933743213</v>
      </c>
      <c r="S57" s="65">
        <f>IF(VLOOKUP($B$8,'indice de fréquentationP'!$A:$BB,S$48,0)=0,"-",VLOOKUP($B$8,'indice de fréquentationP'!$A:$BB,S$48,0))</f>
        <v>0.38256635411209933</v>
      </c>
      <c r="T57" s="65">
        <f>IF(VLOOKUP($B$8,'indice de fréquentationP'!$A:$BB,T$48,0)=0,"-",VLOOKUP($B$8,'indice de fréquentationP'!$A:$BB,T$48,0))</f>
        <v>0.55800783612544491</v>
      </c>
      <c r="U57" s="65">
        <f>IF(VLOOKUP($B$8,'indice de fréquentationP'!$A:$BB,U$48,0)=0,"-",VLOOKUP($B$8,'indice de fréquentationP'!$A:$BB,U$48,0))</f>
        <v>0.60220706463336915</v>
      </c>
      <c r="V57" s="4"/>
      <c r="W57" s="4"/>
      <c r="X57" s="4"/>
      <c r="Y57" s="4"/>
      <c r="Z57" s="4"/>
      <c r="AA57" s="4"/>
      <c r="AB57" s="46"/>
      <c r="AC57" s="46"/>
      <c r="AD57" s="46"/>
      <c r="AE57" s="46"/>
      <c r="AF57" s="46"/>
      <c r="AG57" s="46"/>
      <c r="AH57" s="46"/>
      <c r="AI57" s="46"/>
      <c r="AJ57" s="46"/>
      <c r="AK57" s="46"/>
      <c r="AL57" s="46"/>
      <c r="AM57" s="46"/>
      <c r="AN57" s="46"/>
      <c r="AO57" s="46"/>
      <c r="AP57" s="46"/>
      <c r="AQ57" s="46"/>
      <c r="AR57" s="46"/>
      <c r="AS57" s="46"/>
      <c r="AT57" s="46"/>
      <c r="AU57" s="46"/>
    </row>
    <row r="58" spans="1:48" x14ac:dyDescent="0.2">
      <c r="A58" s="46" t="s">
        <v>66</v>
      </c>
      <c r="B58" s="64">
        <f>IF(VLOOKUP($B$8,tmofP!$A:$BA,B$48,0)=0,"-",VLOOKUP($B$8,tmofP!$A:$BA,B$48,0))</f>
        <v>16.667747508647331</v>
      </c>
      <c r="C58" s="64">
        <f>IF(VLOOKUP($B$8,tmofP!$A:$BA,C$48,0)=0,"-",VLOOKUP($B$8,tmofP!$A:$BA,C$48,0))</f>
        <v>14.729664207434249</v>
      </c>
      <c r="D58" s="64">
        <f>IF(VLOOKUP($B$8,tmofP!$A:$BA,D$48,0)=0,"-",VLOOKUP($B$8,tmofP!$A:$BA,D$48,0))</f>
        <v>16.558574698857957</v>
      </c>
      <c r="E58" s="64">
        <f>IF(VLOOKUP($B$8,tmofP!$A:$BA,E$48,0)=0,"-",VLOOKUP($B$8,tmofP!$A:$BA,E$48,0))</f>
        <v>15.502638437368388</v>
      </c>
      <c r="F58" s="64">
        <f>IF(VLOOKUP($B$8,tmofP!$A:$BA,F$48,0)=0,"-",VLOOKUP($B$8,tmofP!$A:$BA,F$48,0))</f>
        <v>15.334830680224309</v>
      </c>
      <c r="G58" s="64">
        <f>IF(VLOOKUP($B$8,tmofP!$A:$BA,G$48,0)=0,"-",VLOOKUP($B$8,tmofP!$A:$BA,G$48,0))</f>
        <v>14.912913005705326</v>
      </c>
      <c r="H58" s="64">
        <f>IF(VLOOKUP($B$8,tmofP!$A:$BA,H$48,0)=0,"-",VLOOKUP($B$8,tmofP!$A:$BA,H$48,0))</f>
        <v>14.479716471972646</v>
      </c>
      <c r="I58" s="64">
        <f>IF(VLOOKUP($B$8,tmofP!$A:$BA,I$48,0)=0,"-",VLOOKUP($B$8,tmofP!$A:$BA,I$48,0))</f>
        <v>15.24200406959954</v>
      </c>
      <c r="J58" s="64">
        <f>IF(VLOOKUP($B$8,tmofP!$A:$BA,J$48,0)=0,"-",VLOOKUP($B$8,tmofP!$A:$BA,J$48,0))</f>
        <v>13.304363909908512</v>
      </c>
      <c r="K58" s="64">
        <f>IF(VLOOKUP($B$8,tmofP!$A:$BA,K$48,0)=0,"-",VLOOKUP($B$8,tmofP!$A:$BA,K$48,0))</f>
        <v>12.611272996670914</v>
      </c>
      <c r="L58" s="64">
        <f>IF(VLOOKUP($B$8,tmofP!$A:$BA,L$48,0)=0,"-",VLOOKUP($B$8,tmofP!$A:$BA,L$48,0))</f>
        <v>13.5339707729726</v>
      </c>
      <c r="M58" s="64">
        <f>IF(VLOOKUP($B$8,tmofP!$A:$BA,M$48,0)=0,"-",VLOOKUP($B$8,tmofP!$A:$BA,M$48,0))</f>
        <v>13.363442433482881</v>
      </c>
      <c r="N58" s="64">
        <f>IF(VLOOKUP($B$8,tmofP!$A:$BA,N$48,0)=0,"-",VLOOKUP($B$8,tmofP!$A:$BA,N$48,0))</f>
        <v>13.876874884415177</v>
      </c>
      <c r="O58" s="64">
        <f>IF(VLOOKUP($B$8,tmofP!$A:$BA,O$48,0)=0,"-",VLOOKUP($B$8,tmofP!$A:$BA,O$48,0))</f>
        <v>13.119863782353363</v>
      </c>
      <c r="P58" s="64">
        <f>IF(VLOOKUP($B$8,tmofP!$A:$BA,P$48,0)=0,"-",VLOOKUP($B$8,tmofP!$A:$BA,P$48,0))</f>
        <v>12.662890107181635</v>
      </c>
      <c r="Q58" s="64">
        <f>IF(VLOOKUP($B$8,tmofP!$A:$BA,Q$48,0)=0,"-",VLOOKUP($B$8,tmofP!$A:$BA,Q$48,0))</f>
        <v>13.193433731226758</v>
      </c>
      <c r="R58" s="64">
        <f>IF(VLOOKUP($B$8,tmofP!$A:$BA,R$48,0)=0,"-",VLOOKUP($B$8,tmofP!$A:$BA,R$48,0))</f>
        <v>8.9788301009830072</v>
      </c>
      <c r="S58" s="64">
        <f>IF(VLOOKUP($B$8,tmofP!$A:$BA,S$48,0)=0,"-",VLOOKUP($B$8,tmofP!$A:$BA,S$48,0))</f>
        <v>10.545464111976353</v>
      </c>
      <c r="T58" s="64">
        <f>IF(VLOOKUP($B$8,tmofP!$A:$BA,T$48,0)=0,"-",VLOOKUP($B$8,tmofP!$A:$BA,T$48,0))</f>
        <v>10.474373386767812</v>
      </c>
      <c r="U58" s="64">
        <f>IF(VLOOKUP($B$8,tmofP!$A:$BA,U$48,0)=0,"-",VLOOKUP($B$8,tmofP!$A:$BA,U$48,0))</f>
        <v>12.156317353194767</v>
      </c>
      <c r="V58" s="4"/>
      <c r="W58" s="4"/>
      <c r="X58" s="4"/>
      <c r="Y58" s="4"/>
      <c r="Z58" s="4"/>
      <c r="AA58" s="4"/>
      <c r="AB58" s="46"/>
      <c r="AC58" s="46"/>
      <c r="AD58" s="46"/>
      <c r="AE58" s="46"/>
      <c r="AF58" s="46"/>
      <c r="AG58" s="46"/>
      <c r="AH58" s="46"/>
      <c r="AI58" s="46"/>
      <c r="AJ58" s="46"/>
      <c r="AK58" s="46"/>
      <c r="AL58" s="46"/>
      <c r="AM58" s="46"/>
      <c r="AN58" s="46"/>
      <c r="AO58" s="46"/>
      <c r="AP58" s="46"/>
      <c r="AQ58" s="46"/>
      <c r="AR58" s="46"/>
      <c r="AS58" s="46"/>
      <c r="AT58" s="46"/>
      <c r="AU58" s="46"/>
    </row>
    <row r="59" spans="1:48" x14ac:dyDescent="0.2">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spans="1:48" x14ac:dyDescent="0.2">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spans="1:48" x14ac:dyDescent="0.2">
      <c r="A61" s="45" t="s">
        <v>111</v>
      </c>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spans="1:48" ht="3" customHeight="1" x14ac:dyDescent="0.2">
      <c r="B62" s="67">
        <v>2</v>
      </c>
      <c r="C62" s="67">
        <v>3</v>
      </c>
      <c r="D62" s="67">
        <v>4</v>
      </c>
      <c r="E62" s="67">
        <v>5</v>
      </c>
      <c r="F62" s="67">
        <v>6</v>
      </c>
      <c r="G62" s="67">
        <v>7</v>
      </c>
      <c r="H62" s="67">
        <v>8</v>
      </c>
      <c r="I62" s="67">
        <v>9</v>
      </c>
      <c r="J62" s="67">
        <v>10</v>
      </c>
      <c r="K62" s="67">
        <v>11</v>
      </c>
      <c r="L62" s="67">
        <v>12</v>
      </c>
      <c r="M62" s="67">
        <v>13</v>
      </c>
      <c r="N62" s="67">
        <v>14</v>
      </c>
      <c r="O62" s="67">
        <v>15</v>
      </c>
      <c r="P62" s="67">
        <v>16</v>
      </c>
      <c r="Q62" s="67">
        <v>17</v>
      </c>
      <c r="R62" s="67">
        <v>18</v>
      </c>
      <c r="S62" s="67">
        <v>19</v>
      </c>
      <c r="T62" s="67">
        <v>20</v>
      </c>
      <c r="U62" s="67">
        <v>21</v>
      </c>
      <c r="V62" s="60"/>
      <c r="W62" s="60"/>
      <c r="X62" s="60"/>
      <c r="Y62" s="60"/>
      <c r="Z62" s="60"/>
      <c r="AA62" s="60"/>
      <c r="AB62" s="60"/>
    </row>
    <row r="63" spans="1:48" s="45" customFormat="1" x14ac:dyDescent="0.2">
      <c r="A63" s="48"/>
      <c r="B63" s="61">
        <v>2004</v>
      </c>
      <c r="C63" s="61">
        <v>2005</v>
      </c>
      <c r="D63" s="61">
        <v>2006</v>
      </c>
      <c r="E63" s="61">
        <v>2007</v>
      </c>
      <c r="F63" s="61">
        <v>2008</v>
      </c>
      <c r="G63" s="61">
        <v>2009</v>
      </c>
      <c r="H63" s="61">
        <v>2010</v>
      </c>
      <c r="I63" s="61">
        <v>2011</v>
      </c>
      <c r="J63" s="61">
        <v>2012</v>
      </c>
      <c r="K63" s="61">
        <v>2013</v>
      </c>
      <c r="L63" s="61">
        <v>2014</v>
      </c>
      <c r="M63" s="61">
        <v>2015</v>
      </c>
      <c r="N63" s="61">
        <v>2016</v>
      </c>
      <c r="O63" s="61">
        <v>2017</v>
      </c>
      <c r="P63" s="61">
        <v>2018</v>
      </c>
      <c r="Q63" s="61">
        <v>2019</v>
      </c>
      <c r="R63" s="61">
        <v>2020</v>
      </c>
      <c r="S63" s="61">
        <v>2021</v>
      </c>
      <c r="T63" s="61">
        <v>2022</v>
      </c>
      <c r="U63" s="61">
        <v>2023</v>
      </c>
      <c r="V63" s="62"/>
      <c r="W63" s="62"/>
      <c r="X63" s="62"/>
      <c r="Y63" s="62"/>
      <c r="Z63" s="62"/>
      <c r="AA63" s="62"/>
      <c r="AB63" s="62"/>
    </row>
    <row r="64" spans="1:48" x14ac:dyDescent="0.2">
      <c r="A64" s="46" t="s">
        <v>63</v>
      </c>
      <c r="B64" s="4">
        <f>IF(VLOOKUP($B$8,étabM!$A:$BB,B$62,0)=0,"-",VLOOKUP($B$8,étabM!$A:$BB,B$62,0))</f>
        <v>63</v>
      </c>
      <c r="C64" s="4">
        <f>IF(VLOOKUP($B$8,étabM!$A:$BB,C$62,0)=0,"-",VLOOKUP($B$8,étabM!$A:$BB,C$62,0))</f>
        <v>58</v>
      </c>
      <c r="D64" s="4">
        <f>IF(VLOOKUP($B$8,étabM!$A:$BB,D$62,0)=0,"-",VLOOKUP($B$8,étabM!$A:$BB,D$62,0))</f>
        <v>60</v>
      </c>
      <c r="E64" s="4">
        <f>IF(VLOOKUP($B$8,étabM!$A:$BB,E$62,0)=0,"-",VLOOKUP($B$8,étabM!$A:$BB,E$62,0))</f>
        <v>71</v>
      </c>
      <c r="F64" s="4">
        <f>IF(VLOOKUP($B$8,étabM!$A:$BB,F$62,0)=0,"-",VLOOKUP($B$8,étabM!$A:$BB,F$62,0))</f>
        <v>65</v>
      </c>
      <c r="G64" s="4">
        <f>IF(VLOOKUP($B$8,étabM!$A:$BB,G$62,0)=0,"-",VLOOKUP($B$8,étabM!$A:$BB,G$62,0))</f>
        <v>58</v>
      </c>
      <c r="H64" s="4">
        <f>IF(VLOOKUP($B$8,étabM!$A:$BB,H$62,0)=0,"-",VLOOKUP($B$8,étabM!$A:$BB,H$62,0))</f>
        <v>58</v>
      </c>
      <c r="I64" s="4">
        <f>IF(VLOOKUP($B$8,étabM!$A:$BB,I$62,0)=0,"-",VLOOKUP($B$8,étabM!$A:$BB,I$62,0))</f>
        <v>54</v>
      </c>
      <c r="J64" s="4">
        <f>IF(VLOOKUP($B$8,étabM!$A:$BB,J$62,0)=0,"-",VLOOKUP($B$8,étabM!$A:$BB,J$62,0))</f>
        <v>63</v>
      </c>
      <c r="K64" s="4">
        <f>IF(VLOOKUP($B$8,étabM!$A:$BB,K$62,0)=0,"-",VLOOKUP($B$8,étabM!$A:$BB,K$62,0))</f>
        <v>51</v>
      </c>
      <c r="L64" s="4">
        <f>IF(VLOOKUP($B$8,étabM!$A:$BB,L$62,0)=0,"-",VLOOKUP($B$8,étabM!$A:$BB,L$62,0))</f>
        <v>51</v>
      </c>
      <c r="M64" s="4">
        <f>IF(VLOOKUP($B$8,étabM!$A:$BB,M$62,0)=0,"-",VLOOKUP($B$8,étabM!$A:$BB,M$62,0))</f>
        <v>49</v>
      </c>
      <c r="N64" s="4">
        <f>IF(VLOOKUP($B$8,étabM!$A:$BB,N$62,0)=0,"-",VLOOKUP($B$8,étabM!$A:$BB,N$62,0))</f>
        <v>53</v>
      </c>
      <c r="O64" s="4">
        <f>IF(VLOOKUP($B$8,étabM!$A:$BB,O$62,0)=0,"-",VLOOKUP($B$8,étabM!$A:$BB,O$62,0))</f>
        <v>52</v>
      </c>
      <c r="P64" s="4">
        <f>IF(VLOOKUP($B$8,étabM!$A:$BB,P$62,0)=0,"-",VLOOKUP($B$8,étabM!$A:$BB,P$62,0))</f>
        <v>48</v>
      </c>
      <c r="Q64" s="4">
        <f>IF(VLOOKUP($B$8,étabM!$A:$BB,Q$62,0)=0,"-",VLOOKUP($B$8,étabM!$A:$BB,Q$62,0))</f>
        <v>52</v>
      </c>
      <c r="R64" s="4">
        <f>IF(VLOOKUP($B$8,étabM!$A:$BB,R$62,0)=0,"-",VLOOKUP($B$8,étabM!$A:$BB,R$62,0))</f>
        <v>48</v>
      </c>
      <c r="S64" s="4">
        <f>IF(VLOOKUP($B$8,étabM!$A:$BB,S$62,0)=0,"-",VLOOKUP($B$8,étabM!$A:$BB,S$62,0))</f>
        <v>57</v>
      </c>
      <c r="T64" s="4">
        <f>IF(VLOOKUP($B$8,étabM!$A:$BB,T$62,0)=0,"-",VLOOKUP($B$8,étabM!$A:$BB,T$62,0))</f>
        <v>52</v>
      </c>
      <c r="U64" s="4">
        <f>IF(VLOOKUP($B$8,étabM!$A:$BB,U$62,0)=0,"-",VLOOKUP($B$8,étabM!$A:$BB,U$62,0))</f>
        <v>50</v>
      </c>
      <c r="V64" s="4"/>
      <c r="W64" s="4"/>
      <c r="X64" s="4"/>
      <c r="Y64" s="4"/>
      <c r="Z64" s="4"/>
      <c r="AA64" s="4"/>
      <c r="AB64" s="4"/>
      <c r="AC64" s="46"/>
      <c r="AD64" s="46"/>
      <c r="AE64" s="46"/>
      <c r="AF64" s="46"/>
      <c r="AG64" s="46"/>
      <c r="AH64" s="46"/>
      <c r="AI64" s="46"/>
      <c r="AJ64" s="46"/>
      <c r="AK64" s="46"/>
      <c r="AL64" s="46"/>
      <c r="AM64" s="46"/>
      <c r="AN64" s="46"/>
      <c r="AO64" s="46"/>
      <c r="AP64" s="46"/>
      <c r="AQ64" s="46"/>
      <c r="AR64" s="46"/>
      <c r="AS64" s="46"/>
      <c r="AT64" s="46"/>
      <c r="AU64" s="46"/>
      <c r="AV64" s="46"/>
    </row>
    <row r="65" spans="1:48" x14ac:dyDescent="0.2">
      <c r="A65" s="46" t="s">
        <v>57</v>
      </c>
      <c r="B65" s="4">
        <f>IF(VLOOKUP($B$8,écransM!$A:$BB,B$62,0)=0,"-",VLOOKUP($B$8,écransM!$A:$BB,B$62,0))</f>
        <v>207</v>
      </c>
      <c r="C65" s="4">
        <f>IF(VLOOKUP($B$8,écransM!$A:$BB,C$62,0)=0,"-",VLOOKUP($B$8,écransM!$A:$BB,C$62,0))</f>
        <v>219</v>
      </c>
      <c r="D65" s="4">
        <f>IF(VLOOKUP($B$8,écransM!$A:$BB,D$62,0)=0,"-",VLOOKUP($B$8,écransM!$A:$BB,D$62,0))</f>
        <v>217</v>
      </c>
      <c r="E65" s="4">
        <f>IF(VLOOKUP($B$8,écransM!$A:$BB,E$62,0)=0,"-",VLOOKUP($B$8,écransM!$A:$BB,E$62,0))</f>
        <v>260</v>
      </c>
      <c r="F65" s="4">
        <f>IF(VLOOKUP($B$8,écransM!$A:$BB,F$62,0)=0,"-",VLOOKUP($B$8,écransM!$A:$BB,F$62,0))</f>
        <v>239</v>
      </c>
      <c r="G65" s="4">
        <f>IF(VLOOKUP($B$8,écransM!$A:$BB,G$62,0)=0,"-",VLOOKUP($B$8,écransM!$A:$BB,G$62,0))</f>
        <v>220</v>
      </c>
      <c r="H65" s="4">
        <f>IF(VLOOKUP($B$8,écransM!$A:$BB,H$62,0)=0,"-",VLOOKUP($B$8,écransM!$A:$BB,H$62,0))</f>
        <v>217</v>
      </c>
      <c r="I65" s="4">
        <f>IF(VLOOKUP($B$8,écransM!$A:$BB,I$62,0)=0,"-",VLOOKUP($B$8,écransM!$A:$BB,I$62,0))</f>
        <v>218</v>
      </c>
      <c r="J65" s="4">
        <f>IF(VLOOKUP($B$8,écransM!$A:$BB,J$62,0)=0,"-",VLOOKUP($B$8,écransM!$A:$BB,J$62,0))</f>
        <v>257</v>
      </c>
      <c r="K65" s="4">
        <f>IF(VLOOKUP($B$8,écransM!$A:$BB,K$62,0)=0,"-",VLOOKUP($B$8,écransM!$A:$BB,K$62,0))</f>
        <v>211</v>
      </c>
      <c r="L65" s="4">
        <f>IF(VLOOKUP($B$8,écransM!$A:$BB,L$62,0)=0,"-",VLOOKUP($B$8,écransM!$A:$BB,L$62,0))</f>
        <v>198</v>
      </c>
      <c r="M65" s="4">
        <f>IF(VLOOKUP($B$8,écransM!$A:$BB,M$62,0)=0,"-",VLOOKUP($B$8,écransM!$A:$BB,M$62,0))</f>
        <v>192</v>
      </c>
      <c r="N65" s="4">
        <f>IF(VLOOKUP($B$8,écransM!$A:$BB,N$62,0)=0,"-",VLOOKUP($B$8,écransM!$A:$BB,N$62,0))</f>
        <v>205</v>
      </c>
      <c r="O65" s="4">
        <f>IF(VLOOKUP($B$8,écransM!$A:$BB,O$62,0)=0,"-",VLOOKUP($B$8,écransM!$A:$BB,O$62,0))</f>
        <v>214</v>
      </c>
      <c r="P65" s="4">
        <f>IF(VLOOKUP($B$8,écransM!$A:$BB,P$62,0)=0,"-",VLOOKUP($B$8,écransM!$A:$BB,P$62,0))</f>
        <v>210</v>
      </c>
      <c r="Q65" s="4">
        <f>IF(VLOOKUP($B$8,écransM!$A:$BB,Q$62,0)=0,"-",VLOOKUP($B$8,écransM!$A:$BB,Q$62,0))</f>
        <v>220</v>
      </c>
      <c r="R65" s="4">
        <f>IF(VLOOKUP($B$8,écransM!$A:$BB,R$62,0)=0,"-",VLOOKUP($B$8,écransM!$A:$BB,R$62,0))</f>
        <v>310</v>
      </c>
      <c r="S65" s="4">
        <f>IF(VLOOKUP($B$8,écransM!$A:$BB,S$62,0)=0,"-",VLOOKUP($B$8,écransM!$A:$BB,S$62,0))</f>
        <v>353</v>
      </c>
      <c r="T65" s="4">
        <f>IF(VLOOKUP($B$8,écransM!$A:$BB,T$62,0)=0,"-",VLOOKUP($B$8,écransM!$A:$BB,T$62,0))</f>
        <v>291</v>
      </c>
      <c r="U65" s="4">
        <f>IF(VLOOKUP($B$8,écransM!$A:$BB,U$62,0)=0,"-",VLOOKUP($B$8,écransM!$A:$BB,U$62,0))</f>
        <v>235</v>
      </c>
      <c r="V65" s="4"/>
      <c r="W65" s="4"/>
      <c r="X65" s="4"/>
      <c r="Y65" s="4"/>
      <c r="Z65" s="4"/>
      <c r="AA65" s="4"/>
      <c r="AB65" s="4"/>
      <c r="AC65" s="46"/>
      <c r="AD65" s="46"/>
      <c r="AE65" s="46"/>
      <c r="AF65" s="46"/>
      <c r="AG65" s="46"/>
      <c r="AH65" s="46"/>
      <c r="AI65" s="46"/>
      <c r="AJ65" s="46"/>
      <c r="AK65" s="46"/>
      <c r="AL65" s="46"/>
      <c r="AM65" s="46"/>
      <c r="AN65" s="46"/>
      <c r="AO65" s="46"/>
      <c r="AP65" s="46"/>
      <c r="AQ65" s="46"/>
      <c r="AR65" s="46"/>
      <c r="AS65" s="46"/>
      <c r="AT65" s="46"/>
      <c r="AU65" s="46"/>
      <c r="AV65" s="46"/>
    </row>
    <row r="66" spans="1:48" x14ac:dyDescent="0.2">
      <c r="A66" s="46" t="s">
        <v>58</v>
      </c>
      <c r="B66" s="57">
        <f>IF(VLOOKUP($B$8,fauteuilsM!$A:$BB,B$62,0)=0,"-",VLOOKUP($B$8,fauteuilsM!$A:$BB,B$62,0))</f>
        <v>33642</v>
      </c>
      <c r="C66" s="57">
        <f>IF(VLOOKUP($B$8,fauteuilsM!$A:$BB,C$62,0)=0,"-",VLOOKUP($B$8,fauteuilsM!$A:$BB,C$62,0))</f>
        <v>33966</v>
      </c>
      <c r="D66" s="57">
        <f>IF(VLOOKUP($B$8,fauteuilsM!$A:$BB,D$62,0)=0,"-",VLOOKUP($B$8,fauteuilsM!$A:$BB,D$62,0))</f>
        <v>36094</v>
      </c>
      <c r="E66" s="57">
        <f>IF(VLOOKUP($B$8,fauteuilsM!$A:$BB,E$62,0)=0,"-",VLOOKUP($B$8,fauteuilsM!$A:$BB,E$62,0))</f>
        <v>43376</v>
      </c>
      <c r="F66" s="57">
        <f>IF(VLOOKUP($B$8,fauteuilsM!$A:$BB,F$62,0)=0,"-",VLOOKUP($B$8,fauteuilsM!$A:$BB,F$62,0))</f>
        <v>39528</v>
      </c>
      <c r="G66" s="57">
        <f>IF(VLOOKUP($B$8,fauteuilsM!$A:$BB,G$62,0)=0,"-",VLOOKUP($B$8,fauteuilsM!$A:$BB,G$62,0))</f>
        <v>37030</v>
      </c>
      <c r="H66" s="57">
        <f>IF(VLOOKUP($B$8,fauteuilsM!$A:$BB,H$62,0)=0,"-",VLOOKUP($B$8,fauteuilsM!$A:$BB,H$62,0))</f>
        <v>35425</v>
      </c>
      <c r="I66" s="57">
        <f>IF(VLOOKUP($B$8,fauteuilsM!$A:$BB,I$62,0)=0,"-",VLOOKUP($B$8,fauteuilsM!$A:$BB,I$62,0))</f>
        <v>35907</v>
      </c>
      <c r="J66" s="57">
        <f>IF(VLOOKUP($B$8,fauteuilsM!$A:$BB,J$62,0)=0,"-",VLOOKUP($B$8,fauteuilsM!$A:$BB,J$62,0))</f>
        <v>42004</v>
      </c>
      <c r="K66" s="57">
        <f>IF(VLOOKUP($B$8,fauteuilsM!$A:$BB,K$62,0)=0,"-",VLOOKUP($B$8,fauteuilsM!$A:$BB,K$62,0))</f>
        <v>35061</v>
      </c>
      <c r="L66" s="57">
        <f>IF(VLOOKUP($B$8,fauteuilsM!$A:$BB,L$62,0)=0,"-",VLOOKUP($B$8,fauteuilsM!$A:$BB,L$62,0))</f>
        <v>33591</v>
      </c>
      <c r="M66" s="57">
        <f>IF(VLOOKUP($B$8,fauteuilsM!$A:$BB,M$62,0)=0,"-",VLOOKUP($B$8,fauteuilsM!$A:$BB,M$62,0))</f>
        <v>31860</v>
      </c>
      <c r="N66" s="57">
        <f>IF(VLOOKUP($B$8,fauteuilsM!$A:$BB,N$62,0)=0,"-",VLOOKUP($B$8,fauteuilsM!$A:$BB,N$62,0))</f>
        <v>33314</v>
      </c>
      <c r="O66" s="57">
        <f>IF(VLOOKUP($B$8,fauteuilsM!$A:$BB,O$62,0)=0,"-",VLOOKUP($B$8,fauteuilsM!$A:$BB,O$62,0))</f>
        <v>35393</v>
      </c>
      <c r="P66" s="57">
        <f>IF(VLOOKUP($B$8,fauteuilsM!$A:$BB,P$62,0)=0,"-",VLOOKUP($B$8,fauteuilsM!$A:$BB,P$62,0))</f>
        <v>33918</v>
      </c>
      <c r="Q66" s="57">
        <f>IF(VLOOKUP($B$8,fauteuilsM!$A:$BB,Q$62,0)=0,"-",VLOOKUP($B$8,fauteuilsM!$A:$BB,Q$62,0))</f>
        <v>35799</v>
      </c>
      <c r="R66" s="57">
        <f>IF(VLOOKUP($B$8,fauteuilsM!$A:$BB,R$62,0)=0,"-",VLOOKUP($B$8,fauteuilsM!$A:$BB,R$62,0))</f>
        <v>57060</v>
      </c>
      <c r="S66" s="57">
        <f>IF(VLOOKUP($B$8,fauteuilsM!$A:$BB,S$62,0)=0,"-",VLOOKUP($B$8,fauteuilsM!$A:$BB,S$62,0))</f>
        <v>61652</v>
      </c>
      <c r="T66" s="57">
        <f>IF(VLOOKUP($B$8,fauteuilsM!$A:$BB,T$62,0)=0,"-",VLOOKUP($B$8,fauteuilsM!$A:$BB,T$62,0))</f>
        <v>48216</v>
      </c>
      <c r="U66" s="57">
        <f>IF(VLOOKUP($B$8,fauteuilsM!$A:$BB,U$62,0)=0,"-",VLOOKUP($B$8,fauteuilsM!$A:$BB,U$62,0))</f>
        <v>37855</v>
      </c>
      <c r="V66" s="4"/>
      <c r="W66" s="4"/>
      <c r="X66" s="4"/>
      <c r="Y66" s="4"/>
      <c r="Z66" s="4"/>
      <c r="AA66" s="4"/>
      <c r="AB66" s="4"/>
      <c r="AC66" s="46"/>
      <c r="AD66" s="46"/>
      <c r="AE66" s="46"/>
      <c r="AF66" s="46"/>
      <c r="AG66" s="46"/>
      <c r="AH66" s="46"/>
      <c r="AI66" s="46"/>
      <c r="AJ66" s="46"/>
      <c r="AK66" s="46"/>
      <c r="AL66" s="46"/>
      <c r="AM66" s="46"/>
      <c r="AN66" s="46"/>
      <c r="AO66" s="46"/>
      <c r="AP66" s="46"/>
      <c r="AQ66" s="46"/>
      <c r="AR66" s="46"/>
      <c r="AS66" s="46"/>
      <c r="AT66" s="46"/>
      <c r="AU66" s="46"/>
      <c r="AV66" s="46"/>
    </row>
    <row r="67" spans="1:48" x14ac:dyDescent="0.2">
      <c r="A67" s="46" t="s">
        <v>65</v>
      </c>
      <c r="B67" s="63">
        <f>IF(VLOOKUP($B$8,séancesM!$A:$BB,B$62,0)=0,"-",VLOOKUP($B$8,séancesM!$A:$BB,B$62,0))</f>
        <v>194101</v>
      </c>
      <c r="C67" s="63">
        <f>IF(VLOOKUP($B$8,séancesM!$A:$BB,C$62,0)=0,"-",VLOOKUP($B$8,séancesM!$A:$BB,C$62,0))</f>
        <v>244200</v>
      </c>
      <c r="D67" s="63">
        <f>IF(VLOOKUP($B$8,séancesM!$A:$BB,D$62,0)=0,"-",VLOOKUP($B$8,séancesM!$A:$BB,D$62,0))</f>
        <v>232502</v>
      </c>
      <c r="E67" s="63">
        <f>IF(VLOOKUP($B$8,séancesM!$A:$BB,E$62,0)=0,"-",VLOOKUP($B$8,séancesM!$A:$BB,E$62,0))</f>
        <v>287240</v>
      </c>
      <c r="F67" s="63">
        <f>IF(VLOOKUP($B$8,séancesM!$A:$BB,F$62,0)=0,"-",VLOOKUP($B$8,séancesM!$A:$BB,F$62,0))</f>
        <v>277162</v>
      </c>
      <c r="G67" s="63">
        <f>IF(VLOOKUP($B$8,séancesM!$A:$BB,G$62,0)=0,"-",VLOOKUP($B$8,séancesM!$A:$BB,G$62,0))</f>
        <v>266941</v>
      </c>
      <c r="H67" s="63">
        <f>IF(VLOOKUP($B$8,séancesM!$A:$BB,H$62,0)=0,"-",VLOOKUP($B$8,séancesM!$A:$BB,H$62,0))</f>
        <v>266023</v>
      </c>
      <c r="I67" s="63">
        <f>IF(VLOOKUP($B$8,séancesM!$A:$BB,I$62,0)=0,"-",VLOOKUP($B$8,séancesM!$A:$BB,I$62,0))</f>
        <v>266013</v>
      </c>
      <c r="J67" s="63">
        <f>IF(VLOOKUP($B$8,séancesM!$A:$BB,J$62,0)=0,"-",VLOOKUP($B$8,séancesM!$A:$BB,J$62,0))</f>
        <v>328404</v>
      </c>
      <c r="K67" s="63">
        <f>IF(VLOOKUP($B$8,séancesM!$A:$BB,K$62,0)=0,"-",VLOOKUP($B$8,séancesM!$A:$BB,K$62,0))</f>
        <v>272154</v>
      </c>
      <c r="L67" s="63">
        <f>IF(VLOOKUP($B$8,séancesM!$A:$BB,L$62,0)=0,"-",VLOOKUP($B$8,séancesM!$A:$BB,L$62,0))</f>
        <v>259085</v>
      </c>
      <c r="M67" s="63">
        <f>IF(VLOOKUP($B$8,séancesM!$A:$BB,M$62,0)=0,"-",VLOOKUP($B$8,séancesM!$A:$BB,M$62,0))</f>
        <v>243148</v>
      </c>
      <c r="N67" s="63">
        <f>IF(VLOOKUP($B$8,séancesM!$A:$BB,N$62,0)=0,"-",VLOOKUP($B$8,séancesM!$A:$BB,N$62,0))</f>
        <v>257638</v>
      </c>
      <c r="O67" s="63">
        <f>IF(VLOOKUP($B$8,séancesM!$A:$BB,O$62,0)=0,"-",VLOOKUP($B$8,séancesM!$A:$BB,O$62,0))</f>
        <v>273357</v>
      </c>
      <c r="P67" s="63">
        <f>IF(VLOOKUP($B$8,séancesM!$A:$BB,P$62,0)=0,"-",VLOOKUP($B$8,séancesM!$A:$BB,P$62,0))</f>
        <v>293525</v>
      </c>
      <c r="Q67" s="63">
        <f>IF(VLOOKUP($B$8,séancesM!$A:$BB,Q$62,0)=0,"-",VLOOKUP($B$8,séancesM!$A:$BB,Q$62,0))</f>
        <v>315652</v>
      </c>
      <c r="R67" s="63">
        <f>IF(VLOOKUP($B$8,séancesM!$A:$BB,R$62,0)=0,"-",VLOOKUP($B$8,séancesM!$A:$BB,R$62,0))</f>
        <v>268798</v>
      </c>
      <c r="S67" s="63">
        <f>IF(VLOOKUP($B$8,séancesM!$A:$BB,S$62,0)=0,"-",VLOOKUP($B$8,séancesM!$A:$BB,S$62,0))</f>
        <v>335426</v>
      </c>
      <c r="T67" s="63">
        <f>IF(VLOOKUP($B$8,séancesM!$A:$BB,T$62,0)=0,"-",VLOOKUP($B$8,séancesM!$A:$BB,T$62,0))</f>
        <v>418122</v>
      </c>
      <c r="U67" s="63">
        <f>IF(VLOOKUP($B$8,séancesM!$A:$BB,U$62,0)=0,"-",VLOOKUP($B$8,séancesM!$A:$BB,U$62,0))</f>
        <v>318894</v>
      </c>
      <c r="V67" s="4"/>
      <c r="W67" s="4"/>
      <c r="X67" s="4"/>
      <c r="Y67" s="4"/>
      <c r="Z67" s="4"/>
      <c r="AA67" s="4"/>
      <c r="AB67" s="4"/>
      <c r="AC67" s="46"/>
      <c r="AD67" s="46"/>
      <c r="AE67" s="46"/>
      <c r="AF67" s="46"/>
      <c r="AG67" s="46"/>
      <c r="AH67" s="46"/>
      <c r="AI67" s="46"/>
      <c r="AJ67" s="46"/>
      <c r="AK67" s="46"/>
      <c r="AL67" s="46"/>
      <c r="AM67" s="46"/>
      <c r="AN67" s="46"/>
      <c r="AO67" s="46"/>
      <c r="AP67" s="46"/>
      <c r="AQ67" s="46"/>
      <c r="AR67" s="46"/>
      <c r="AS67" s="46"/>
      <c r="AT67" s="46"/>
      <c r="AU67" s="46"/>
      <c r="AV67" s="46"/>
    </row>
    <row r="68" spans="1:48" x14ac:dyDescent="0.2">
      <c r="A68" s="46" t="s">
        <v>59</v>
      </c>
      <c r="B68" s="58">
        <f>IF(VLOOKUP($B$8,entréesM!$A:$BB,B$62,0)=0,"-",VLOOKUP($B$8,entréesM!$A:$BB,B$62,0))</f>
        <v>5140731</v>
      </c>
      <c r="C68" s="58">
        <f>IF(VLOOKUP($B$8,entréesM!$A:$BB,C$62,0)=0,"-",VLOOKUP($B$8,entréesM!$A:$BB,C$62,0))</f>
        <v>5671137</v>
      </c>
      <c r="D68" s="58">
        <f>IF(VLOOKUP($B$8,entréesM!$A:$BB,D$62,0)=0,"-",VLOOKUP($B$8,entréesM!$A:$BB,D$62,0))</f>
        <v>5999803</v>
      </c>
      <c r="E68" s="58">
        <f>IF(VLOOKUP($B$8,entréesM!$A:$BB,E$62,0)=0,"-",VLOOKUP($B$8,entréesM!$A:$BB,E$62,0))</f>
        <v>6764109</v>
      </c>
      <c r="F68" s="58">
        <f>IF(VLOOKUP($B$8,entréesM!$A:$BB,F$62,0)=0,"-",VLOOKUP($B$8,entréesM!$A:$BB,F$62,0))</f>
        <v>6438381</v>
      </c>
      <c r="G68" s="58">
        <f>IF(VLOOKUP($B$8,entréesM!$A:$BB,G$62,0)=0,"-",VLOOKUP($B$8,entréesM!$A:$BB,G$62,0))</f>
        <v>6549195</v>
      </c>
      <c r="H68" s="58">
        <f>IF(VLOOKUP($B$8,entréesM!$A:$BB,H$62,0)=0,"-",VLOOKUP($B$8,entréesM!$A:$BB,H$62,0))</f>
        <v>6460181</v>
      </c>
      <c r="I68" s="58">
        <f>IF(VLOOKUP($B$8,entréesM!$A:$BB,I$62,0)=0,"-",VLOOKUP($B$8,entréesM!$A:$BB,I$62,0))</f>
        <v>6765415</v>
      </c>
      <c r="J68" s="58">
        <f>IF(VLOOKUP($B$8,entréesM!$A:$BB,J$62,0)=0,"-",VLOOKUP($B$8,entréesM!$A:$BB,J$62,0))</f>
        <v>7453147</v>
      </c>
      <c r="K68" s="58">
        <f>IF(VLOOKUP($B$8,entréesM!$A:$BB,K$62,0)=0,"-",VLOOKUP($B$8,entréesM!$A:$BB,K$62,0))</f>
        <v>6169547</v>
      </c>
      <c r="L68" s="58">
        <f>IF(VLOOKUP($B$8,entréesM!$A:$BB,L$62,0)=0,"-",VLOOKUP($B$8,entréesM!$A:$BB,L$62,0))</f>
        <v>6423885</v>
      </c>
      <c r="M68" s="58">
        <f>IF(VLOOKUP($B$8,entréesM!$A:$BB,M$62,0)=0,"-",VLOOKUP($B$8,entréesM!$A:$BB,M$62,0))</f>
        <v>6247706</v>
      </c>
      <c r="N68" s="58">
        <f>IF(VLOOKUP($B$8,entréesM!$A:$BB,N$62,0)=0,"-",VLOOKUP($B$8,entréesM!$A:$BB,N$62,0))</f>
        <v>6609074</v>
      </c>
      <c r="O68" s="58">
        <f>IF(VLOOKUP($B$8,entréesM!$A:$BB,O$62,0)=0,"-",VLOOKUP($B$8,entréesM!$A:$BB,O$62,0))</f>
        <v>6842352</v>
      </c>
      <c r="P68" s="58">
        <f>IF(VLOOKUP($B$8,entréesM!$A:$BB,P$62,0)=0,"-",VLOOKUP($B$8,entréesM!$A:$BB,P$62,0))</f>
        <v>6762803</v>
      </c>
      <c r="Q68" s="58">
        <f>IF(VLOOKUP($B$8,entréesM!$A:$BB,Q$62,0)=0,"-",VLOOKUP($B$8,entréesM!$A:$BB,Q$62,0))</f>
        <v>7666625</v>
      </c>
      <c r="R68" s="58">
        <f>IF(VLOOKUP($B$8,entréesM!$A:$BB,R$62,0)=0,"-",VLOOKUP($B$8,entréesM!$A:$BB,R$62,0))</f>
        <v>3856845</v>
      </c>
      <c r="S68" s="58">
        <f>IF(VLOOKUP($B$8,entréesM!$A:$BB,S$62,0)=0,"-",VLOOKUP($B$8,entréesM!$A:$BB,S$62,0))</f>
        <v>5992162</v>
      </c>
      <c r="T68" s="58">
        <f>IF(VLOOKUP($B$8,entréesM!$A:$BB,T$62,0)=0,"-",VLOOKUP($B$8,entréesM!$A:$BB,T$62,0))</f>
        <v>6832255</v>
      </c>
      <c r="U68" s="58">
        <f>IF(VLOOKUP($B$8,entréesM!$A:$BB,U$62,0)=0,"-",VLOOKUP($B$8,entréesM!$A:$BB,U$62,0))</f>
        <v>6950976</v>
      </c>
      <c r="V68" s="4"/>
      <c r="W68" s="4"/>
      <c r="X68" s="4"/>
      <c r="Y68" s="4"/>
      <c r="Z68" s="4"/>
      <c r="AA68" s="4"/>
      <c r="AB68" s="4"/>
      <c r="AC68" s="46"/>
      <c r="AD68" s="46"/>
      <c r="AE68" s="46"/>
      <c r="AF68" s="46"/>
      <c r="AG68" s="46"/>
      <c r="AH68" s="46"/>
      <c r="AI68" s="46"/>
      <c r="AJ68" s="46"/>
      <c r="AK68" s="46"/>
      <c r="AL68" s="46"/>
      <c r="AM68" s="46"/>
      <c r="AN68" s="46"/>
      <c r="AO68" s="46"/>
      <c r="AP68" s="46"/>
      <c r="AQ68" s="46"/>
      <c r="AR68" s="46"/>
      <c r="AS68" s="46"/>
      <c r="AT68" s="46"/>
      <c r="AU68" s="46"/>
      <c r="AV68" s="46"/>
    </row>
    <row r="69" spans="1:48" x14ac:dyDescent="0.2">
      <c r="A69" s="46" t="s">
        <v>60</v>
      </c>
      <c r="B69" s="58">
        <f>IF(VLOOKUP($B$8,recettesM!$A:$BB,B$62,0)=0,"-",VLOOKUP($B$8,recettesM!$A:$BB,B$62,0))</f>
        <v>27945133</v>
      </c>
      <c r="C69" s="58">
        <f>IF(VLOOKUP($B$8,recettesM!$A:$BB,C$62,0)=0,"-",VLOOKUP($B$8,recettesM!$A:$BB,C$62,0))</f>
        <v>32028710</v>
      </c>
      <c r="D69" s="58">
        <f>IF(VLOOKUP($B$8,recettesM!$A:$BB,D$62,0)=0,"-",VLOOKUP($B$8,recettesM!$A:$BB,D$62,0))</f>
        <v>34102789</v>
      </c>
      <c r="E69" s="58">
        <f>IF(VLOOKUP($B$8,recettesM!$A:$BB,E$62,0)=0,"-",VLOOKUP($B$8,recettesM!$A:$BB,E$62,0))</f>
        <v>39515413</v>
      </c>
      <c r="F69" s="58">
        <f>IF(VLOOKUP($B$8,recettesM!$A:$BB,F$62,0)=0,"-",VLOOKUP($B$8,recettesM!$A:$BB,F$62,0))</f>
        <v>38169801</v>
      </c>
      <c r="G69" s="58">
        <f>IF(VLOOKUP($B$8,recettesM!$A:$BB,G$62,0)=0,"-",VLOOKUP($B$8,recettesM!$A:$BB,G$62,0))</f>
        <v>39987203</v>
      </c>
      <c r="H69" s="58">
        <f>IF(VLOOKUP($B$8,recettesM!$A:$BB,H$62,0)=0,"-",VLOOKUP($B$8,recettesM!$A:$BB,H$62,0))</f>
        <v>40200365</v>
      </c>
      <c r="I69" s="58">
        <f>IF(VLOOKUP($B$8,recettesM!$A:$BB,I$62,0)=0,"-",VLOOKUP($B$8,recettesM!$A:$BB,I$62,0))</f>
        <v>42751479</v>
      </c>
      <c r="J69" s="58">
        <f>IF(VLOOKUP($B$8,recettesM!$A:$BB,J$62,0)=0,"-",VLOOKUP($B$8,recettesM!$A:$BB,J$62,0))</f>
        <v>47779231</v>
      </c>
      <c r="K69" s="58">
        <f>IF(VLOOKUP($B$8,recettesM!$A:$BB,K$62,0)=0,"-",VLOOKUP($B$8,recettesM!$A:$BB,K$62,0))</f>
        <v>39239648</v>
      </c>
      <c r="L69" s="58">
        <f>IF(VLOOKUP($B$8,recettesM!$A:$BB,L$62,0)=0,"-",VLOOKUP($B$8,recettesM!$A:$BB,L$62,0))</f>
        <v>39556747</v>
      </c>
      <c r="M69" s="58">
        <f>IF(VLOOKUP($B$8,recettesM!$A:$BB,M$62,0)=0,"-",VLOOKUP($B$8,recettesM!$A:$BB,M$62,0))</f>
        <v>39381291</v>
      </c>
      <c r="N69" s="58">
        <f>IF(VLOOKUP($B$8,recettesM!$A:$BB,N$62,0)=0,"-",VLOOKUP($B$8,recettesM!$A:$BB,N$62,0))</f>
        <v>41259646</v>
      </c>
      <c r="O69" s="58">
        <f>IF(VLOOKUP($B$8,recettesM!$A:$BB,O$62,0)=0,"-",VLOOKUP($B$8,recettesM!$A:$BB,O$62,0))</f>
        <v>43169835</v>
      </c>
      <c r="P69" s="58">
        <f>IF(VLOOKUP($B$8,recettesM!$A:$BB,P$62,0)=0,"-",VLOOKUP($B$8,recettesM!$A:$BB,P$62,0))</f>
        <v>43217027</v>
      </c>
      <c r="Q69" s="58">
        <f>IF(VLOOKUP($B$8,recettesM!$A:$BB,Q$62,0)=0,"-",VLOOKUP($B$8,recettesM!$A:$BB,Q$62,0))</f>
        <v>49310489</v>
      </c>
      <c r="R69" s="58">
        <f>IF(VLOOKUP($B$8,recettesM!$A:$BB,R$62,0)=0,"-",VLOOKUP($B$8,recettesM!$A:$BB,R$62,0))</f>
        <v>27817867</v>
      </c>
      <c r="S69" s="58">
        <f>IF(VLOOKUP($B$8,recettesM!$A:$BB,S$62,0)=0,"-",VLOOKUP($B$8,recettesM!$A:$BB,S$62,0))</f>
        <v>44470038</v>
      </c>
      <c r="T69" s="58">
        <f>IF(VLOOKUP($B$8,recettesM!$A:$BB,T$62,0)=0,"-",VLOOKUP($B$8,recettesM!$A:$BB,T$62,0))</f>
        <v>50463049</v>
      </c>
      <c r="U69" s="58">
        <f>IF(VLOOKUP($B$8,recettesM!$A:$BB,U$62,0)=0,"-",VLOOKUP($B$8,recettesM!$A:$BB,U$62,0))</f>
        <v>48844591</v>
      </c>
      <c r="V69" s="4"/>
      <c r="W69" s="4"/>
      <c r="X69" s="4"/>
      <c r="Y69" s="4"/>
      <c r="Z69" s="4"/>
      <c r="AA69" s="4"/>
      <c r="AB69" s="4"/>
      <c r="AC69" s="46"/>
      <c r="AD69" s="46"/>
      <c r="AE69" s="46"/>
      <c r="AF69" s="46"/>
      <c r="AG69" s="46"/>
      <c r="AH69" s="46"/>
      <c r="AI69" s="46"/>
      <c r="AJ69" s="46"/>
      <c r="AK69" s="46"/>
      <c r="AL69" s="46"/>
      <c r="AM69" s="46"/>
      <c r="AN69" s="46"/>
      <c r="AO69" s="46"/>
      <c r="AP69" s="46"/>
      <c r="AQ69" s="46"/>
      <c r="AR69" s="46"/>
      <c r="AS69" s="46"/>
      <c r="AT69" s="46"/>
      <c r="AU69" s="46"/>
      <c r="AV69" s="46"/>
    </row>
    <row r="70" spans="1:48" x14ac:dyDescent="0.2">
      <c r="A70" s="46" t="s">
        <v>61</v>
      </c>
      <c r="B70" s="65">
        <f>IF(VLOOKUP($B$8,RMEM!$A:$BB,B$62,0)=0,"-",VLOOKUP($B$8,RMEM!$A:$BB,B$62,0))</f>
        <v>5.4360232037039093</v>
      </c>
      <c r="C70" s="65">
        <f>IF(VLOOKUP($B$8,RMEM!$A:$BB,C$62,0)=0,"-",VLOOKUP($B$8,RMEM!$A:$BB,C$62,0))</f>
        <v>5.647669946961253</v>
      </c>
      <c r="D70" s="65">
        <f>IF(VLOOKUP($B$8,RMEM!$A:$BB,D$62,0)=0,"-",VLOOKUP($B$8,RMEM!$A:$BB,D$62,0))</f>
        <v>5.683984790833966</v>
      </c>
      <c r="E70" s="65">
        <f>IF(VLOOKUP($B$8,RMEM!$A:$BB,E$62,0)=0,"-",VLOOKUP($B$8,RMEM!$A:$BB,E$62,0))</f>
        <v>5.8419243391849536</v>
      </c>
      <c r="F70" s="65">
        <f>IF(VLOOKUP($B$8,RMEM!$A:$BB,F$62,0)=0,"-",VLOOKUP($B$8,RMEM!$A:$BB,F$62,0))</f>
        <v>5.928478137593908</v>
      </c>
      <c r="G70" s="65">
        <f>IF(VLOOKUP($B$8,RMEM!$A:$BB,G$62,0)=0,"-",VLOOKUP($B$8,RMEM!$A:$BB,G$62,0))</f>
        <v>6.1056668796699443</v>
      </c>
      <c r="H70" s="65">
        <f>IF(VLOOKUP($B$8,RMEM!$A:$BB,H$62,0)=0,"-",VLOOKUP($B$8,RMEM!$A:$BB,H$62,0))</f>
        <v>6.2227923644863816</v>
      </c>
      <c r="I70" s="65">
        <f>IF(VLOOKUP($B$8,RMEM!$A:$BB,I$62,0)=0,"-",VLOOKUP($B$8,RMEM!$A:$BB,I$62,0))</f>
        <v>6.3191214433999985</v>
      </c>
      <c r="J70" s="65">
        <f>IF(VLOOKUP($B$8,RMEM!$A:$BB,J$62,0)=0,"-",VLOOKUP($B$8,RMEM!$A:$BB,J$62,0))</f>
        <v>6.4106116516955858</v>
      </c>
      <c r="K70" s="65">
        <f>IF(VLOOKUP($B$8,RMEM!$A:$BB,K$62,0)=0,"-",VLOOKUP($B$8,RMEM!$A:$BB,K$62,0))</f>
        <v>6.3602154258651407</v>
      </c>
      <c r="L70" s="65">
        <f>IF(VLOOKUP($B$8,RMEM!$A:$BB,L$62,0)=0,"-",VLOOKUP($B$8,RMEM!$A:$BB,L$62,0))</f>
        <v>6.1577607631518934</v>
      </c>
      <c r="M70" s="65">
        <f>IF(VLOOKUP($B$8,RMEM!$A:$BB,M$62,0)=0,"-",VLOOKUP($B$8,RMEM!$A:$BB,M$62,0))</f>
        <v>6.3033201306207429</v>
      </c>
      <c r="N70" s="65">
        <f>IF(VLOOKUP($B$8,RMEM!$A:$BB,N$62,0)=0,"-",VLOOKUP($B$8,RMEM!$A:$BB,N$62,0))</f>
        <v>6.2428785031004344</v>
      </c>
      <c r="O70" s="65">
        <f>IF(VLOOKUP($B$8,RMEM!$A:$BB,O$62,0)=0,"-",VLOOKUP($B$8,RMEM!$A:$BB,O$62,0))</f>
        <v>6.3092099032613351</v>
      </c>
      <c r="P70" s="65">
        <f>IF(VLOOKUP($B$8,RMEM!$A:$BB,P$62,0)=0,"-",VLOOKUP($B$8,RMEM!$A:$BB,P$62,0))</f>
        <v>6.3904015834854278</v>
      </c>
      <c r="Q70" s="65">
        <f>IF(VLOOKUP($B$8,RMEM!$A:$BB,Q$62,0)=0,"-",VLOOKUP($B$8,RMEM!$A:$BB,Q$62,0))</f>
        <v>6.4318378686840694</v>
      </c>
      <c r="R70" s="65">
        <f>IF(VLOOKUP($B$8,RMEM!$A:$BB,R$62,0)=0,"-",VLOOKUP($B$8,RMEM!$A:$BB,R$62,0))</f>
        <v>7.2125965653273596</v>
      </c>
      <c r="S70" s="65">
        <f>IF(VLOOKUP($B$8,RMEM!$A:$BB,S$62,0)=0,"-",VLOOKUP($B$8,RMEM!$A:$BB,S$62,0))</f>
        <v>7.4213677801100841</v>
      </c>
      <c r="T70" s="65">
        <f>IF(VLOOKUP($B$8,RMEM!$A:$BB,T$62,0)=0,"-",VLOOKUP($B$8,RMEM!$A:$BB,T$62,0))</f>
        <v>7.3860019861670851</v>
      </c>
      <c r="U70" s="65">
        <f>IF(VLOOKUP($B$8,RMEM!$A:$BB,U$62,0)=0,"-",VLOOKUP($B$8,RMEM!$A:$BB,U$62,0))</f>
        <v>7.0270118901288106</v>
      </c>
      <c r="V70" s="4"/>
      <c r="W70" s="4"/>
      <c r="X70" s="4"/>
      <c r="Y70" s="4"/>
      <c r="Z70" s="4"/>
      <c r="AA70" s="4"/>
      <c r="AB70" s="4"/>
      <c r="AC70" s="46"/>
      <c r="AD70" s="46"/>
      <c r="AE70" s="46"/>
      <c r="AF70" s="46"/>
      <c r="AG70" s="46"/>
      <c r="AH70" s="46"/>
      <c r="AI70" s="46"/>
      <c r="AJ70" s="46"/>
      <c r="AK70" s="46"/>
      <c r="AL70" s="46"/>
      <c r="AM70" s="46"/>
      <c r="AN70" s="46"/>
      <c r="AO70" s="46"/>
      <c r="AP70" s="46"/>
      <c r="AQ70" s="46"/>
      <c r="AR70" s="46"/>
      <c r="AS70" s="46"/>
      <c r="AT70" s="46"/>
      <c r="AU70" s="46"/>
      <c r="AV70" s="46"/>
    </row>
    <row r="71" spans="1:48" x14ac:dyDescent="0.2">
      <c r="A71" s="46" t="s">
        <v>62</v>
      </c>
      <c r="B71" s="65">
        <f>IF(VLOOKUP($B$8,'indice de fréquentationM'!$A:$BB,B$62,0)=0,"-",VLOOKUP($B$8,'indice de fréquentationM'!$A:$BB,B$62,0))</f>
        <v>0.69873176470876064</v>
      </c>
      <c r="C71" s="65">
        <f>IF(VLOOKUP($B$8,'indice de fréquentationM'!$A:$BB,C$62,0)=0,"-",VLOOKUP($B$8,'indice de fréquentationM'!$A:$BB,C$62,0))</f>
        <v>0.68736838686015134</v>
      </c>
      <c r="D71" s="65">
        <f>IF(VLOOKUP($B$8,'indice de fréquentationM'!$A:$BB,D$62,0)=0,"-",VLOOKUP($B$8,'indice de fréquentationM'!$A:$BB,D$62,0))</f>
        <v>0.72720424662438887</v>
      </c>
      <c r="E71" s="65">
        <f>IF(VLOOKUP($B$8,'indice de fréquentationM'!$A:$BB,E$62,0)=0,"-",VLOOKUP($B$8,'indice de fréquentationM'!$A:$BB,E$62,0))</f>
        <v>0.81984171637472902</v>
      </c>
      <c r="F71" s="65">
        <f>IF(VLOOKUP($B$8,'indice de fréquentationM'!$A:$BB,F$62,0)=0,"-",VLOOKUP($B$8,'indice de fréquentationM'!$A:$BB,F$62,0))</f>
        <v>0.78036195598185132</v>
      </c>
      <c r="G71" s="65">
        <f>IF(VLOOKUP($B$8,'indice de fréquentationM'!$A:$BB,G$62,0)=0,"-",VLOOKUP($B$8,'indice de fréquentationM'!$A:$BB,G$62,0))</f>
        <v>0.79379313220304304</v>
      </c>
      <c r="H71" s="65">
        <f>IF(VLOOKUP($B$8,'indice de fréquentationM'!$A:$BB,H$62,0)=0,"-",VLOOKUP($B$8,'indice de fréquentationM'!$A:$BB,H$62,0))</f>
        <v>0.78300421816552823</v>
      </c>
      <c r="I71" s="65">
        <f>IF(VLOOKUP($B$8,'indice de fréquentationM'!$A:$BB,I$62,0)=0,"-",VLOOKUP($B$8,'indice de fréquentationM'!$A:$BB,I$62,0))</f>
        <v>0.82000000969637499</v>
      </c>
      <c r="J71" s="65">
        <f>IF(VLOOKUP($B$8,'indice de fréquentationM'!$A:$BB,J$62,0)=0,"-",VLOOKUP($B$8,'indice de fréquentationM'!$A:$BB,J$62,0))</f>
        <v>0.90335635171951878</v>
      </c>
      <c r="K71" s="65">
        <f>IF(VLOOKUP($B$8,'indice de fréquentationM'!$A:$BB,K$62,0)=0,"-",VLOOKUP($B$8,'indice de fréquentationM'!$A:$BB,K$62,0))</f>
        <v>0.74777801506962116</v>
      </c>
      <c r="L71" s="65">
        <f>IF(VLOOKUP($B$8,'indice de fréquentationM'!$A:$BB,L$62,0)=0,"-",VLOOKUP($B$8,'indice de fréquentationM'!$A:$BB,L$62,0))</f>
        <v>0.77860497283439345</v>
      </c>
      <c r="M71" s="65">
        <f>IF(VLOOKUP($B$8,'indice de fréquentationM'!$A:$BB,M$62,0)=0,"-",VLOOKUP($B$8,'indice de fréquentationM'!$A:$BB,M$62,0))</f>
        <v>0.75725125222622713</v>
      </c>
      <c r="N71" s="65">
        <f>IF(VLOOKUP($B$8,'indice de fréquentationM'!$A:$BB,N$62,0)=0,"-",VLOOKUP($B$8,'indice de fréquentationM'!$A:$BB,N$62,0))</f>
        <v>0.80105074767535467</v>
      </c>
      <c r="O71" s="65">
        <f>IF(VLOOKUP($B$8,'indice de fréquentationM'!$A:$BB,O$62,0)=0,"-",VLOOKUP($B$8,'indice de fréquentationM'!$A:$BB,O$62,0))</f>
        <v>0.82932513472507019</v>
      </c>
      <c r="P71" s="65">
        <f>IF(VLOOKUP($B$8,'indice de fréquentationM'!$A:$BB,P$62,0)=0,"-",VLOOKUP($B$8,'indice de fréquentationM'!$A:$BB,P$62,0))</f>
        <v>0.81968342305308306</v>
      </c>
      <c r="Q71" s="65">
        <f>IF(VLOOKUP($B$8,'indice de fréquentationM'!$A:$BB,Q$62,0)=0,"-",VLOOKUP($B$8,'indice de fréquentationM'!$A:$BB,Q$62,0))</f>
        <v>0.92923088596020653</v>
      </c>
      <c r="R71" s="65">
        <f>IF(VLOOKUP($B$8,'indice de fréquentationM'!$A:$BB,R$62,0)=0,"-",VLOOKUP($B$8,'indice de fréquentationM'!$A:$BB,R$62,0))</f>
        <v>0.46746769228457019</v>
      </c>
      <c r="S71" s="65">
        <f>IF(VLOOKUP($B$8,'indice de fréquentationM'!$A:$BB,S$62,0)=0,"-",VLOOKUP($B$8,'indice de fréquentationM'!$A:$BB,S$62,0))</f>
        <v>0.72627812160854133</v>
      </c>
      <c r="T71" s="65">
        <f>IF(VLOOKUP($B$8,'indice de fréquentationM'!$A:$BB,T$62,0)=0,"-",VLOOKUP($B$8,'indice de fréquentationM'!$A:$BB,T$62,0))</f>
        <v>0.82810133099715344</v>
      </c>
      <c r="U71" s="65">
        <f>IF(VLOOKUP($B$8,'indice de fréquentationM'!$A:$BB,U$62,0)=0,"-",VLOOKUP($B$8,'indice de fréquentationM'!$A:$BB,U$62,0))</f>
        <v>0.84249087268102096</v>
      </c>
      <c r="V71" s="4"/>
      <c r="W71" s="4"/>
      <c r="X71" s="4"/>
      <c r="Y71" s="4"/>
      <c r="Z71" s="4"/>
      <c r="AA71" s="4"/>
      <c r="AB71" s="4"/>
      <c r="AC71" s="46"/>
      <c r="AD71" s="46"/>
      <c r="AE71" s="46"/>
      <c r="AF71" s="46"/>
      <c r="AG71" s="46"/>
      <c r="AH71" s="46"/>
      <c r="AI71" s="46"/>
      <c r="AJ71" s="46"/>
      <c r="AK71" s="46"/>
      <c r="AL71" s="46"/>
      <c r="AM71" s="46"/>
      <c r="AN71" s="46"/>
      <c r="AO71" s="46"/>
      <c r="AP71" s="46"/>
      <c r="AQ71" s="46"/>
      <c r="AR71" s="46"/>
      <c r="AS71" s="46"/>
      <c r="AT71" s="46"/>
      <c r="AU71" s="46"/>
      <c r="AV71" s="46"/>
    </row>
    <row r="72" spans="1:48" x14ac:dyDescent="0.2">
      <c r="A72" s="46" t="s">
        <v>66</v>
      </c>
      <c r="B72" s="64">
        <f>IF(VLOOKUP($B$8,tmofM!$A:$BB,B$62,0)=0,"-",VLOOKUP($B$8,tmofM!$A:$BB,B$62,0))</f>
        <v>16.985864507059386</v>
      </c>
      <c r="C72" s="64">
        <f>IF(VLOOKUP($B$8,tmofM!$A:$BB,C$62,0)=0,"-",VLOOKUP($B$8,tmofM!$A:$BB,C$62,0))</f>
        <v>15.051492991010621</v>
      </c>
      <c r="D72" s="64">
        <f>IF(VLOOKUP($B$8,tmofM!$A:$BB,D$62,0)=0,"-",VLOOKUP($B$8,tmofM!$A:$BB,D$62,0))</f>
        <v>16.146060535688409</v>
      </c>
      <c r="E72" s="64">
        <f>IF(VLOOKUP($B$8,tmofM!$A:$BB,E$62,0)=0,"-",VLOOKUP($B$8,tmofM!$A:$BB,E$62,0))</f>
        <v>14.73906746718133</v>
      </c>
      <c r="F72" s="64">
        <f>IF(VLOOKUP($B$8,tmofM!$A:$BB,F$62,0)=0,"-",VLOOKUP($B$8,tmofM!$A:$BB,F$62,0))</f>
        <v>14.477416352451177</v>
      </c>
      <c r="G72" s="64">
        <f>IF(VLOOKUP($B$8,tmofM!$A:$BB,G$62,0)=0,"-",VLOOKUP($B$8,tmofM!$A:$BB,G$62,0))</f>
        <v>15.213877717778502</v>
      </c>
      <c r="H72" s="64">
        <f>IF(VLOOKUP($B$8,tmofM!$A:$BB,H$62,0)=0,"-",VLOOKUP($B$8,tmofM!$A:$BB,H$62,0))</f>
        <v>15.520388345502804</v>
      </c>
      <c r="I72" s="64">
        <f>IF(VLOOKUP($B$8,tmofM!$A:$BB,I$62,0)=0,"-",VLOOKUP($B$8,tmofM!$A:$BB,I$62,0))</f>
        <v>15.721343889131219</v>
      </c>
      <c r="J72" s="64">
        <f>IF(VLOOKUP($B$8,tmofM!$A:$BB,J$62,0)=0,"-",VLOOKUP($B$8,tmofM!$A:$BB,J$62,0))</f>
        <v>14.450558199353397</v>
      </c>
      <c r="K72" s="64">
        <f>IF(VLOOKUP($B$8,tmofM!$A:$BB,K$62,0)=0,"-",VLOOKUP($B$8,tmofM!$A:$BB,K$62,0))</f>
        <v>14.278783753887817</v>
      </c>
      <c r="L72" s="64">
        <f>IF(VLOOKUP($B$8,tmofM!$A:$BB,L$62,0)=0,"-",VLOOKUP($B$8,tmofM!$A:$BB,L$62,0))</f>
        <v>15.153137771167058</v>
      </c>
      <c r="M72" s="64">
        <f>IF(VLOOKUP($B$8,tmofM!$A:$BB,M$62,0)=0,"-",VLOOKUP($B$8,tmofM!$A:$BB,M$62,0))</f>
        <v>15.834070394827995</v>
      </c>
      <c r="N72" s="64">
        <f>IF(VLOOKUP($B$8,tmofM!$A:$BB,N$62,0)=0,"-",VLOOKUP($B$8,tmofM!$A:$BB,N$62,0))</f>
        <v>16.309317940312908</v>
      </c>
      <c r="O72" s="64">
        <f>IF(VLOOKUP($B$8,tmofM!$A:$BB,O$62,0)=0,"-",VLOOKUP($B$8,tmofM!$A:$BB,O$62,0))</f>
        <v>15.834292494507979</v>
      </c>
      <c r="P72" s="64">
        <f>IF(VLOOKUP($B$8,tmofM!$A:$BB,P$62,0)=0,"-",VLOOKUP($B$8,tmofM!$A:$BB,P$62,0))</f>
        <v>14.834549375536776</v>
      </c>
      <c r="Q72" s="64">
        <f>IF(VLOOKUP($B$8,tmofM!$A:$BB,Q$62,0)=0,"-",VLOOKUP($B$8,tmofM!$A:$BB,Q$62,0))</f>
        <v>15.554013400558686</v>
      </c>
      <c r="R72" s="64">
        <f>IF(VLOOKUP($B$8,tmofM!$A:$BB,R$62,0)=0,"-",VLOOKUP($B$8,tmofM!$A:$BB,R$62,0))</f>
        <v>7.9043751460226508</v>
      </c>
      <c r="S72" s="64">
        <f>IF(VLOOKUP($B$8,tmofM!$A:$BB,S$62,0)=0,"-",VLOOKUP($B$8,tmofM!$A:$BB,S$62,0))</f>
        <v>10.573823337505338</v>
      </c>
      <c r="T72" s="64">
        <f>IF(VLOOKUP($B$8,tmofM!$A:$BB,T$62,0)=0,"-",VLOOKUP($B$8,tmofM!$A:$BB,T$62,0))</f>
        <v>10.259871093255384</v>
      </c>
      <c r="U72" s="64">
        <f>IF(VLOOKUP($B$8,tmofM!$A:$BB,U$62,0)=0,"-",VLOOKUP($B$8,tmofM!$A:$BB,U$62,0))</f>
        <v>13.919042635690658</v>
      </c>
      <c r="V72" s="4"/>
      <c r="W72" s="4"/>
      <c r="X72" s="4"/>
      <c r="Y72" s="4"/>
      <c r="Z72" s="4"/>
      <c r="AA72" s="4"/>
      <c r="AB72" s="4"/>
      <c r="AC72" s="46"/>
      <c r="AD72" s="46"/>
      <c r="AE72" s="46"/>
      <c r="AF72" s="46"/>
      <c r="AG72" s="46"/>
      <c r="AH72" s="46"/>
      <c r="AI72" s="46"/>
      <c r="AJ72" s="46"/>
      <c r="AK72" s="46"/>
      <c r="AL72" s="46"/>
      <c r="AM72" s="46"/>
      <c r="AN72" s="46"/>
      <c r="AO72" s="46"/>
      <c r="AP72" s="46"/>
      <c r="AQ72" s="46"/>
      <c r="AR72" s="46"/>
      <c r="AS72" s="46"/>
      <c r="AT72" s="46"/>
      <c r="AU72" s="46"/>
      <c r="AV72" s="46"/>
    </row>
    <row r="73" spans="1:48" x14ac:dyDescent="0.2">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spans="1:48" x14ac:dyDescent="0.2">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spans="1:48" x14ac:dyDescent="0.2">
      <c r="A75" s="45" t="s">
        <v>112</v>
      </c>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spans="1:48" ht="3" customHeight="1" x14ac:dyDescent="0.2">
      <c r="B76" s="67">
        <v>2</v>
      </c>
      <c r="C76" s="67">
        <v>3</v>
      </c>
      <c r="D76" s="67">
        <v>4</v>
      </c>
      <c r="E76" s="67">
        <v>5</v>
      </c>
      <c r="F76" s="67">
        <v>6</v>
      </c>
      <c r="G76" s="67">
        <v>7</v>
      </c>
      <c r="H76" s="67">
        <v>8</v>
      </c>
      <c r="I76" s="67">
        <v>9</v>
      </c>
      <c r="J76" s="67">
        <v>10</v>
      </c>
      <c r="K76" s="67">
        <v>11</v>
      </c>
      <c r="L76" s="67">
        <v>12</v>
      </c>
      <c r="M76" s="67">
        <v>13</v>
      </c>
      <c r="N76" s="67">
        <v>14</v>
      </c>
      <c r="O76" s="67">
        <v>15</v>
      </c>
      <c r="P76" s="67">
        <v>16</v>
      </c>
      <c r="Q76" s="67">
        <v>17</v>
      </c>
      <c r="R76" s="67">
        <v>18</v>
      </c>
      <c r="S76" s="67">
        <v>19</v>
      </c>
      <c r="T76" s="67">
        <v>20</v>
      </c>
      <c r="U76" s="67">
        <v>21</v>
      </c>
      <c r="V76" s="60"/>
      <c r="W76" s="60"/>
      <c r="X76" s="60"/>
      <c r="Y76" s="60"/>
      <c r="Z76" s="60"/>
      <c r="AA76" s="60"/>
      <c r="AB76" s="60"/>
    </row>
    <row r="77" spans="1:48" s="45" customFormat="1" x14ac:dyDescent="0.2">
      <c r="A77" s="48"/>
      <c r="B77" s="61">
        <v>2004</v>
      </c>
      <c r="C77" s="61">
        <v>2005</v>
      </c>
      <c r="D77" s="61">
        <v>2006</v>
      </c>
      <c r="E77" s="61">
        <v>2007</v>
      </c>
      <c r="F77" s="61">
        <v>2008</v>
      </c>
      <c r="G77" s="61">
        <v>2009</v>
      </c>
      <c r="H77" s="61">
        <v>2010</v>
      </c>
      <c r="I77" s="61">
        <v>2011</v>
      </c>
      <c r="J77" s="61">
        <v>2012</v>
      </c>
      <c r="K77" s="61">
        <v>2013</v>
      </c>
      <c r="L77" s="61">
        <v>2014</v>
      </c>
      <c r="M77" s="61">
        <v>2015</v>
      </c>
      <c r="N77" s="61">
        <v>2016</v>
      </c>
      <c r="O77" s="61">
        <v>2017</v>
      </c>
      <c r="P77" s="61">
        <v>2018</v>
      </c>
      <c r="Q77" s="61">
        <v>2019</v>
      </c>
      <c r="R77" s="61">
        <v>2020</v>
      </c>
      <c r="S77" s="61">
        <v>2021</v>
      </c>
      <c r="T77" s="61">
        <v>2022</v>
      </c>
      <c r="U77" s="61">
        <v>2023</v>
      </c>
      <c r="V77" s="62"/>
      <c r="W77" s="62"/>
      <c r="X77" s="62"/>
      <c r="Y77" s="62"/>
      <c r="Z77" s="62"/>
      <c r="AA77" s="62"/>
      <c r="AB77" s="62"/>
    </row>
    <row r="78" spans="1:48" x14ac:dyDescent="0.2">
      <c r="A78" s="46" t="s">
        <v>63</v>
      </c>
      <c r="B78" s="4">
        <f>IF(VLOOKUP($B$8,étabG!$A:$BB,B$76,0)=0,"-",VLOOKUP($B$8,étabG!$A:$BB,B$76,0))</f>
        <v>25</v>
      </c>
      <c r="C78" s="4">
        <f>IF(VLOOKUP($B$8,étabG!$A:$BB,C$76,0)=0,"-",VLOOKUP($B$8,étabG!$A:$BB,C$76,0))</f>
        <v>19</v>
      </c>
      <c r="D78" s="4">
        <f>IF(VLOOKUP($B$8,étabG!$A:$BB,D$76,0)=0,"-",VLOOKUP($B$8,étabG!$A:$BB,D$76,0))</f>
        <v>20</v>
      </c>
      <c r="E78" s="4">
        <f>IF(VLOOKUP($B$8,étabG!$A:$BB,E$76,0)=0,"-",VLOOKUP($B$8,étabG!$A:$BB,E$76,0))</f>
        <v>15</v>
      </c>
      <c r="F78" s="4">
        <f>IF(VLOOKUP($B$8,étabG!$A:$BB,F$76,0)=0,"-",VLOOKUP($B$8,étabG!$A:$BB,F$76,0))</f>
        <v>17</v>
      </c>
      <c r="G78" s="4">
        <f>IF(VLOOKUP($B$8,étabG!$A:$BB,G$76,0)=0,"-",VLOOKUP($B$8,étabG!$A:$BB,G$76,0))</f>
        <v>20</v>
      </c>
      <c r="H78" s="4">
        <f>IF(VLOOKUP($B$8,étabG!$A:$BB,H$76,0)=0,"-",VLOOKUP($B$8,étabG!$A:$BB,H$76,0))</f>
        <v>20</v>
      </c>
      <c r="I78" s="4">
        <f>IF(VLOOKUP($B$8,étabG!$A:$BB,I$76,0)=0,"-",VLOOKUP($B$8,étabG!$A:$BB,I$76,0))</f>
        <v>22</v>
      </c>
      <c r="J78" s="4">
        <f>IF(VLOOKUP($B$8,étabG!$A:$BB,J$76,0)=0,"-",VLOOKUP($B$8,étabG!$A:$BB,J$76,0))</f>
        <v>18</v>
      </c>
      <c r="K78" s="4">
        <f>IF(VLOOKUP($B$8,étabG!$A:$BB,K$76,0)=0,"-",VLOOKUP($B$8,étabG!$A:$BB,K$76,0))</f>
        <v>24</v>
      </c>
      <c r="L78" s="4">
        <f>IF(VLOOKUP($B$8,étabG!$A:$BB,L$76,0)=0,"-",VLOOKUP($B$8,étabG!$A:$BB,L$76,0))</f>
        <v>28</v>
      </c>
      <c r="M78" s="4">
        <f>IF(VLOOKUP($B$8,étabG!$A:$BB,M$76,0)=0,"-",VLOOKUP($B$8,étabG!$A:$BB,M$76,0))</f>
        <v>29</v>
      </c>
      <c r="N78" s="4">
        <f>IF(VLOOKUP($B$8,étabG!$A:$BB,N$76,0)=0,"-",VLOOKUP($B$8,étabG!$A:$BB,N$76,0))</f>
        <v>29</v>
      </c>
      <c r="O78" s="4">
        <f>IF(VLOOKUP($B$8,étabG!$A:$BB,O$76,0)=0,"-",VLOOKUP($B$8,étabG!$A:$BB,O$76,0))</f>
        <v>30</v>
      </c>
      <c r="P78" s="4">
        <f>IF(VLOOKUP($B$8,étabG!$A:$BB,P$76,0)=0,"-",VLOOKUP($B$8,étabG!$A:$BB,P$76,0))</f>
        <v>30</v>
      </c>
      <c r="Q78" s="4">
        <f>IF(VLOOKUP($B$8,étabG!$A:$BB,Q$76,0)=0,"-",VLOOKUP($B$8,étabG!$A:$BB,Q$76,0))</f>
        <v>30</v>
      </c>
      <c r="R78" s="4">
        <f>IF(VLOOKUP($B$8,étabG!$A:$BB,R$76,0)=0,"-",VLOOKUP($B$8,étabG!$A:$BB,R$76,0))</f>
        <v>6</v>
      </c>
      <c r="S78" s="4">
        <f>IF(VLOOKUP($B$8,étabG!$A:$BB,S$76,0)=0,"-",VLOOKUP($B$8,étabG!$A:$BB,S$76,0))</f>
        <v>8</v>
      </c>
      <c r="T78" s="4">
        <f>IF(VLOOKUP($B$8,étabG!$A:$BB,T$76,0)=0,"-",VLOOKUP($B$8,étabG!$A:$BB,T$76,0))</f>
        <v>21</v>
      </c>
      <c r="U78" s="4">
        <f>IF(VLOOKUP($B$8,étabG!$A:$BB,U$76,0)=0,"-",VLOOKUP($B$8,étabG!$A:$BB,U$76,0))</f>
        <v>29</v>
      </c>
      <c r="V78" s="4"/>
      <c r="W78" s="4"/>
      <c r="X78" s="4"/>
      <c r="Y78" s="4"/>
      <c r="Z78" s="4"/>
      <c r="AA78" s="4"/>
      <c r="AB78" s="4"/>
      <c r="AC78" s="46"/>
      <c r="AD78" s="46"/>
      <c r="AE78" s="46"/>
      <c r="AF78" s="46"/>
      <c r="AG78" s="46"/>
      <c r="AH78" s="46"/>
      <c r="AI78" s="46"/>
      <c r="AJ78" s="46"/>
      <c r="AK78" s="46"/>
      <c r="AL78" s="46"/>
      <c r="AM78" s="46"/>
      <c r="AN78" s="46"/>
      <c r="AO78" s="46"/>
      <c r="AP78" s="46"/>
      <c r="AQ78" s="46"/>
      <c r="AR78" s="46"/>
      <c r="AS78" s="46"/>
      <c r="AT78" s="46"/>
      <c r="AU78" s="46"/>
      <c r="AV78" s="46"/>
    </row>
    <row r="79" spans="1:48" x14ac:dyDescent="0.2">
      <c r="A79" s="46" t="s">
        <v>57</v>
      </c>
      <c r="B79" s="4">
        <f>IF(VLOOKUP($B$8,écransG!$A:$BB,B$76,0)=0,"-",VLOOKUP($B$8,écransG!$A:$BB,B$76,0))</f>
        <v>203</v>
      </c>
      <c r="C79" s="4">
        <f>IF(VLOOKUP($B$8,écransG!$A:$BB,C$76,0)=0,"-",VLOOKUP($B$8,écransG!$A:$BB,C$76,0))</f>
        <v>169</v>
      </c>
      <c r="D79" s="4">
        <f>IF(VLOOKUP($B$8,écransG!$A:$BB,D$76,0)=0,"-",VLOOKUP($B$8,écransG!$A:$BB,D$76,0))</f>
        <v>180</v>
      </c>
      <c r="E79" s="4">
        <f>IF(VLOOKUP($B$8,écransG!$A:$BB,E$76,0)=0,"-",VLOOKUP($B$8,écransG!$A:$BB,E$76,0))</f>
        <v>155</v>
      </c>
      <c r="F79" s="4">
        <f>IF(VLOOKUP($B$8,écransG!$A:$BB,F$76,0)=0,"-",VLOOKUP($B$8,écransG!$A:$BB,F$76,0))</f>
        <v>178</v>
      </c>
      <c r="G79" s="4">
        <f>IF(VLOOKUP($B$8,écransG!$A:$BB,G$76,0)=0,"-",VLOOKUP($B$8,écransG!$A:$BB,G$76,0))</f>
        <v>204</v>
      </c>
      <c r="H79" s="4">
        <f>IF(VLOOKUP($B$8,écransG!$A:$BB,H$76,0)=0,"-",VLOOKUP($B$8,écransG!$A:$BB,H$76,0))</f>
        <v>206</v>
      </c>
      <c r="I79" s="4">
        <f>IF(VLOOKUP($B$8,écransG!$A:$BB,I$76,0)=0,"-",VLOOKUP($B$8,écransG!$A:$BB,I$76,0))</f>
        <v>213</v>
      </c>
      <c r="J79" s="4">
        <f>IF(VLOOKUP($B$8,écransG!$A:$BB,J$76,0)=0,"-",VLOOKUP($B$8,écransG!$A:$BB,J$76,0))</f>
        <v>202</v>
      </c>
      <c r="K79" s="4">
        <f>IF(VLOOKUP($B$8,écransG!$A:$BB,K$76,0)=0,"-",VLOOKUP($B$8,écransG!$A:$BB,K$76,0))</f>
        <v>240</v>
      </c>
      <c r="L79" s="4">
        <f>IF(VLOOKUP($B$8,écransG!$A:$BB,L$76,0)=0,"-",VLOOKUP($B$8,écransG!$A:$BB,L$76,0))</f>
        <v>262</v>
      </c>
      <c r="M79" s="4">
        <f>IF(VLOOKUP($B$8,écransG!$A:$BB,M$76,0)=0,"-",VLOOKUP($B$8,écransG!$A:$BB,M$76,0))</f>
        <v>273</v>
      </c>
      <c r="N79" s="4">
        <f>IF(VLOOKUP($B$8,écransG!$A:$BB,N$76,0)=0,"-",VLOOKUP($B$8,écransG!$A:$BB,N$76,0))</f>
        <v>275</v>
      </c>
      <c r="O79" s="4">
        <f>IF(VLOOKUP($B$8,écransG!$A:$BB,O$76,0)=0,"-",VLOOKUP($B$8,écransG!$A:$BB,O$76,0))</f>
        <v>286</v>
      </c>
      <c r="P79" s="4">
        <f>IF(VLOOKUP($B$8,écransG!$A:$BB,P$76,0)=0,"-",VLOOKUP($B$8,écransG!$A:$BB,P$76,0))</f>
        <v>286</v>
      </c>
      <c r="Q79" s="4">
        <f>IF(VLOOKUP($B$8,écransG!$A:$BB,Q$76,0)=0,"-",VLOOKUP($B$8,écransG!$A:$BB,Q$76,0))</f>
        <v>286</v>
      </c>
      <c r="R79" s="4">
        <f>IF(VLOOKUP($B$8,écransG!$A:$BB,R$76,0)=0,"-",VLOOKUP($B$8,écransG!$A:$BB,R$76,0))</f>
        <v>75</v>
      </c>
      <c r="S79" s="4">
        <f>IF(VLOOKUP($B$8,écransG!$A:$BB,S$76,0)=0,"-",VLOOKUP($B$8,écransG!$A:$BB,S$76,0))</f>
        <v>99</v>
      </c>
      <c r="T79" s="4">
        <f>IF(VLOOKUP($B$8,écransG!$A:$BB,T$76,0)=0,"-",VLOOKUP($B$8,écransG!$A:$BB,T$76,0))</f>
        <v>205</v>
      </c>
      <c r="U79" s="4">
        <f>IF(VLOOKUP($B$8,écransG!$A:$BB,U$76,0)=0,"-",VLOOKUP($B$8,écransG!$A:$BB,U$76,0))</f>
        <v>278</v>
      </c>
      <c r="V79" s="4"/>
      <c r="W79" s="4"/>
      <c r="X79" s="4"/>
      <c r="Y79" s="4"/>
      <c r="Z79" s="4"/>
      <c r="AA79" s="4"/>
      <c r="AB79" s="4"/>
      <c r="AC79" s="46"/>
      <c r="AD79" s="46"/>
      <c r="AE79" s="46"/>
      <c r="AF79" s="46"/>
      <c r="AG79" s="46"/>
      <c r="AH79" s="46"/>
      <c r="AI79" s="46"/>
      <c r="AJ79" s="46"/>
      <c r="AK79" s="46"/>
      <c r="AL79" s="46"/>
      <c r="AM79" s="46"/>
      <c r="AN79" s="46"/>
      <c r="AO79" s="46"/>
      <c r="AP79" s="46"/>
      <c r="AQ79" s="46"/>
      <c r="AR79" s="46"/>
      <c r="AS79" s="46"/>
      <c r="AT79" s="46"/>
      <c r="AU79" s="46"/>
      <c r="AV79" s="46"/>
    </row>
    <row r="80" spans="1:48" x14ac:dyDescent="0.2">
      <c r="A80" s="46" t="s">
        <v>58</v>
      </c>
      <c r="B80" s="57">
        <f>IF(VLOOKUP($B$8,fauteuilsG!$A:$BB,B$76,0)=0,"-",VLOOKUP($B$8,fauteuilsG!$A:$BB,B$76,0))</f>
        <v>39223</v>
      </c>
      <c r="C80" s="57">
        <f>IF(VLOOKUP($B$8,fauteuilsG!$A:$BB,C$76,0)=0,"-",VLOOKUP($B$8,fauteuilsG!$A:$BB,C$76,0))</f>
        <v>33294</v>
      </c>
      <c r="D80" s="57">
        <f>IF(VLOOKUP($B$8,fauteuilsG!$A:$BB,D$76,0)=0,"-",VLOOKUP($B$8,fauteuilsG!$A:$BB,D$76,0))</f>
        <v>35396</v>
      </c>
      <c r="E80" s="57">
        <f>IF(VLOOKUP($B$8,fauteuilsG!$A:$BB,E$76,0)=0,"-",VLOOKUP($B$8,fauteuilsG!$A:$BB,E$76,0))</f>
        <v>31578</v>
      </c>
      <c r="F80" s="57">
        <f>IF(VLOOKUP($B$8,fauteuilsG!$A:$BB,F$76,0)=0,"-",VLOOKUP($B$8,fauteuilsG!$A:$BB,F$76,0))</f>
        <v>35995</v>
      </c>
      <c r="G80" s="57">
        <f>IF(VLOOKUP($B$8,fauteuilsG!$A:$BB,G$76,0)=0,"-",VLOOKUP($B$8,fauteuilsG!$A:$BB,G$76,0))</f>
        <v>41292</v>
      </c>
      <c r="H80" s="57">
        <f>IF(VLOOKUP($B$8,fauteuilsG!$A:$BB,H$76,0)=0,"-",VLOOKUP($B$8,fauteuilsG!$A:$BB,H$76,0))</f>
        <v>42356</v>
      </c>
      <c r="I80" s="57">
        <f>IF(VLOOKUP($B$8,fauteuilsG!$A:$BB,I$76,0)=0,"-",VLOOKUP($B$8,fauteuilsG!$A:$BB,I$76,0))</f>
        <v>42951</v>
      </c>
      <c r="J80" s="57">
        <f>IF(VLOOKUP($B$8,fauteuilsG!$A:$BB,J$76,0)=0,"-",VLOOKUP($B$8,fauteuilsG!$A:$BB,J$76,0))</f>
        <v>42519</v>
      </c>
      <c r="K80" s="57">
        <f>IF(VLOOKUP($B$8,fauteuilsG!$A:$BB,K$76,0)=0,"-",VLOOKUP($B$8,fauteuilsG!$A:$BB,K$76,0))</f>
        <v>47996</v>
      </c>
      <c r="L80" s="57">
        <f>IF(VLOOKUP($B$8,fauteuilsG!$A:$BB,L$76,0)=0,"-",VLOOKUP($B$8,fauteuilsG!$A:$BB,L$76,0))</f>
        <v>51338</v>
      </c>
      <c r="M80" s="57">
        <f>IF(VLOOKUP($B$8,fauteuilsG!$A:$BB,M$76,0)=0,"-",VLOOKUP($B$8,fauteuilsG!$A:$BB,M$76,0))</f>
        <v>53332</v>
      </c>
      <c r="N80" s="57">
        <f>IF(VLOOKUP($B$8,fauteuilsG!$A:$BB,N$76,0)=0,"-",VLOOKUP($B$8,fauteuilsG!$A:$BB,N$76,0))</f>
        <v>54199</v>
      </c>
      <c r="O80" s="57">
        <f>IF(VLOOKUP($B$8,fauteuilsG!$A:$BB,O$76,0)=0,"-",VLOOKUP($B$8,fauteuilsG!$A:$BB,O$76,0))</f>
        <v>55542</v>
      </c>
      <c r="P80" s="57">
        <f>IF(VLOOKUP($B$8,fauteuilsG!$A:$BB,P$76,0)=0,"-",VLOOKUP($B$8,fauteuilsG!$A:$BB,P$76,0))</f>
        <v>55021</v>
      </c>
      <c r="Q80" s="57">
        <f>IF(VLOOKUP($B$8,fauteuilsG!$A:$BB,Q$76,0)=0,"-",VLOOKUP($B$8,fauteuilsG!$A:$BB,Q$76,0))</f>
        <v>55021</v>
      </c>
      <c r="R80" s="57">
        <f>IF(VLOOKUP($B$8,fauteuilsG!$A:$BB,R$76,0)=0,"-",VLOOKUP($B$8,fauteuilsG!$A:$BB,R$76,0))</f>
        <v>14844</v>
      </c>
      <c r="S80" s="57">
        <f>IF(VLOOKUP($B$8,fauteuilsG!$A:$BB,S$76,0)=0,"-",VLOOKUP($B$8,fauteuilsG!$A:$BB,S$76,0))</f>
        <v>19868</v>
      </c>
      <c r="T80" s="57">
        <f>IF(VLOOKUP($B$8,fauteuilsG!$A:$BB,T$76,0)=0,"-",VLOOKUP($B$8,fauteuilsG!$A:$BB,T$76,0))</f>
        <v>39782</v>
      </c>
      <c r="U80" s="57">
        <f>IF(VLOOKUP($B$8,fauteuilsG!$A:$BB,U$76,0)=0,"-",VLOOKUP($B$8,fauteuilsG!$A:$BB,U$76,0))</f>
        <v>52103</v>
      </c>
      <c r="V80" s="4"/>
      <c r="W80" s="4"/>
      <c r="X80" s="4"/>
      <c r="Y80" s="4"/>
      <c r="Z80" s="4"/>
      <c r="AA80" s="4"/>
      <c r="AB80" s="4"/>
      <c r="AC80" s="46"/>
      <c r="AD80" s="46"/>
      <c r="AE80" s="46"/>
      <c r="AF80" s="46"/>
      <c r="AG80" s="46"/>
      <c r="AH80" s="46"/>
      <c r="AI80" s="46"/>
      <c r="AJ80" s="46"/>
      <c r="AK80" s="46"/>
      <c r="AL80" s="46"/>
      <c r="AM80" s="46"/>
      <c r="AN80" s="46"/>
      <c r="AO80" s="46"/>
      <c r="AP80" s="46"/>
      <c r="AQ80" s="46"/>
      <c r="AR80" s="46"/>
      <c r="AS80" s="46"/>
      <c r="AT80" s="46"/>
      <c r="AU80" s="46"/>
      <c r="AV80" s="46"/>
    </row>
    <row r="81" spans="1:48" x14ac:dyDescent="0.2">
      <c r="A81" s="46" t="s">
        <v>65</v>
      </c>
      <c r="B81" s="63">
        <f>IF(VLOOKUP($B$8,séancesG!$A:$BA,B$76,0)=0,"-",VLOOKUP($B$8,séancesG!$A:$BA,B$76,0))</f>
        <v>363905</v>
      </c>
      <c r="C81" s="63">
        <f>IF(VLOOKUP($B$8,séancesG!$A:$BA,C$76,0)=0,"-",VLOOKUP($B$8,séancesG!$A:$BA,C$76,0))</f>
        <v>305994</v>
      </c>
      <c r="D81" s="63">
        <f>IF(VLOOKUP($B$8,séancesG!$A:$BA,D$76,0)=0,"-",VLOOKUP($B$8,séancesG!$A:$BA,D$76,0))</f>
        <v>319775</v>
      </c>
      <c r="E81" s="63">
        <f>IF(VLOOKUP($B$8,séancesG!$A:$BA,E$76,0)=0,"-",VLOOKUP($B$8,séancesG!$A:$BA,E$76,0))</f>
        <v>279001</v>
      </c>
      <c r="F81" s="63">
        <f>IF(VLOOKUP($B$8,séancesG!$A:$BA,F$76,0)=0,"-",VLOOKUP($B$8,séancesG!$A:$BA,F$76,0))</f>
        <v>320426</v>
      </c>
      <c r="G81" s="63">
        <f>IF(VLOOKUP($B$8,séancesG!$A:$BA,G$76,0)=0,"-",VLOOKUP($B$8,séancesG!$A:$BA,G$76,0))</f>
        <v>360068</v>
      </c>
      <c r="H81" s="63">
        <f>IF(VLOOKUP($B$8,séancesG!$A:$BA,H$76,0)=0,"-",VLOOKUP($B$8,séancesG!$A:$BA,H$76,0))</f>
        <v>370102</v>
      </c>
      <c r="I81" s="63">
        <f>IF(VLOOKUP($B$8,séancesG!$A:$BA,I$76,0)=0,"-",VLOOKUP($B$8,séancesG!$A:$BA,I$76,0))</f>
        <v>394885</v>
      </c>
      <c r="J81" s="63">
        <f>IF(VLOOKUP($B$8,séancesG!$A:$BA,J$76,0)=0,"-",VLOOKUP($B$8,séancesG!$A:$BA,J$76,0))</f>
        <v>373342</v>
      </c>
      <c r="K81" s="63">
        <f>IF(VLOOKUP($B$8,séancesG!$A:$BA,K$76,0)=0,"-",VLOOKUP($B$8,séancesG!$A:$BA,K$76,0))</f>
        <v>436880</v>
      </c>
      <c r="L81" s="63">
        <f>IF(VLOOKUP($B$8,séancesG!$A:$BA,L$76,0)=0,"-",VLOOKUP($B$8,séancesG!$A:$BA,L$76,0))</f>
        <v>483479</v>
      </c>
      <c r="M81" s="63">
        <f>IF(VLOOKUP($B$8,séancesG!$A:$BA,M$76,0)=0,"-",VLOOKUP($B$8,séancesG!$A:$BA,M$76,0))</f>
        <v>507320</v>
      </c>
      <c r="N81" s="63">
        <f>IF(VLOOKUP($B$8,séancesG!$A:$BA,N$76,0)=0,"-",VLOOKUP($B$8,séancesG!$A:$BA,N$76,0))</f>
        <v>505735</v>
      </c>
      <c r="O81" s="63">
        <f>IF(VLOOKUP($B$8,séancesG!$A:$BA,O$76,0)=0,"-",VLOOKUP($B$8,séancesG!$A:$BA,O$76,0))</f>
        <v>517876</v>
      </c>
      <c r="P81" s="63">
        <f>IF(VLOOKUP($B$8,séancesG!$A:$BA,P$76,0)=0,"-",VLOOKUP($B$8,séancesG!$A:$BA,P$76,0))</f>
        <v>542253</v>
      </c>
      <c r="Q81" s="63">
        <f>IF(VLOOKUP($B$8,séancesG!$A:$BA,Q$76,0)=0,"-",VLOOKUP($B$8,séancesG!$A:$BA,Q$76,0))</f>
        <v>528058</v>
      </c>
      <c r="R81" s="63">
        <f>IF(VLOOKUP($B$8,séancesG!$A:$BA,R$76,0)=0,"-",VLOOKUP($B$8,séancesG!$A:$BA,R$76,0))</f>
        <v>63421</v>
      </c>
      <c r="S81" s="63">
        <f>IF(VLOOKUP($B$8,séancesG!$A:$BA,S$76,0)=0,"-",VLOOKUP($B$8,séancesG!$A:$BA,S$76,0))</f>
        <v>96608</v>
      </c>
      <c r="T81" s="63">
        <f>IF(VLOOKUP($B$8,séancesG!$A:$BA,T$76,0)=0,"-",VLOOKUP($B$8,séancesG!$A:$BA,T$76,0))</f>
        <v>349781</v>
      </c>
      <c r="U81" s="63">
        <f>IF(VLOOKUP($B$8,séancesG!$A:$BA,U$76,0)=0,"-",VLOOKUP($B$8,séancesG!$A:$BA,U$76,0))</f>
        <v>453300</v>
      </c>
      <c r="V81" s="4"/>
      <c r="W81" s="4"/>
      <c r="X81" s="4"/>
      <c r="Y81" s="4"/>
      <c r="Z81" s="4"/>
      <c r="AA81" s="4"/>
      <c r="AB81" s="4"/>
      <c r="AC81" s="46"/>
      <c r="AD81" s="46"/>
      <c r="AE81" s="46"/>
      <c r="AF81" s="46"/>
      <c r="AG81" s="46"/>
      <c r="AH81" s="46"/>
      <c r="AI81" s="46"/>
      <c r="AJ81" s="46"/>
      <c r="AK81" s="46"/>
      <c r="AL81" s="46"/>
      <c r="AM81" s="46"/>
      <c r="AN81" s="46"/>
      <c r="AO81" s="46"/>
      <c r="AP81" s="46"/>
      <c r="AQ81" s="46"/>
      <c r="AR81" s="46"/>
      <c r="AS81" s="46"/>
      <c r="AT81" s="46"/>
      <c r="AU81" s="46"/>
      <c r="AV81" s="46"/>
    </row>
    <row r="82" spans="1:48" x14ac:dyDescent="0.2">
      <c r="A82" s="46" t="s">
        <v>59</v>
      </c>
      <c r="B82" s="58">
        <f>IF(VLOOKUP($B$8,entréesG!$A:$BA,B$76,0)=0,"-",VLOOKUP($B$8,entréesG!$A:$BA,B$76,0))</f>
        <v>13192512</v>
      </c>
      <c r="C82" s="58">
        <f>IF(VLOOKUP($B$8,entréesG!$A:$BA,C$76,0)=0,"-",VLOOKUP($B$8,entréesG!$A:$BA,C$76,0))</f>
        <v>10500489</v>
      </c>
      <c r="D82" s="58">
        <f>IF(VLOOKUP($B$8,entréesG!$A:$BA,D$76,0)=0,"-",VLOOKUP($B$8,entréesG!$A:$BA,D$76,0))</f>
        <v>11048208</v>
      </c>
      <c r="E82" s="58">
        <f>IF(VLOOKUP($B$8,entréesG!$A:$BA,E$76,0)=0,"-",VLOOKUP($B$8,entréesG!$A:$BA,E$76,0))</f>
        <v>9550106</v>
      </c>
      <c r="F82" s="58">
        <f>IF(VLOOKUP($B$8,entréesG!$A:$BA,F$76,0)=0,"-",VLOOKUP($B$8,entréesG!$A:$BA,F$76,0))</f>
        <v>10889884</v>
      </c>
      <c r="G82" s="58">
        <f>IF(VLOOKUP($B$8,entréesG!$A:$BA,G$76,0)=0,"-",VLOOKUP($B$8,entréesG!$A:$BA,G$76,0))</f>
        <v>12468580</v>
      </c>
      <c r="H82" s="58">
        <f>IF(VLOOKUP($B$8,entréesG!$A:$BA,H$76,0)=0,"-",VLOOKUP($B$8,entréesG!$A:$BA,H$76,0))</f>
        <v>13742089</v>
      </c>
      <c r="I82" s="58">
        <f>IF(VLOOKUP($B$8,entréesG!$A:$BA,I$76,0)=0,"-",VLOOKUP($B$8,entréesG!$A:$BA,I$76,0))</f>
        <v>13979802</v>
      </c>
      <c r="J82" s="58">
        <f>IF(VLOOKUP($B$8,entréesG!$A:$BA,J$76,0)=0,"-",VLOOKUP($B$8,entréesG!$A:$BA,J$76,0))</f>
        <v>12295229</v>
      </c>
      <c r="K82" s="58">
        <f>IF(VLOOKUP($B$8,entréesG!$A:$BA,K$76,0)=0,"-",VLOOKUP($B$8,entréesG!$A:$BA,K$76,0))</f>
        <v>13032557</v>
      </c>
      <c r="L82" s="58">
        <f>IF(VLOOKUP($B$8,entréesG!$A:$BA,L$76,0)=0,"-",VLOOKUP($B$8,entréesG!$A:$BA,L$76,0))</f>
        <v>13947236</v>
      </c>
      <c r="M82" s="58">
        <f>IF(VLOOKUP($B$8,entréesG!$A:$BA,M$76,0)=0,"-",VLOOKUP($B$8,entréesG!$A:$BA,M$76,0))</f>
        <v>13635626</v>
      </c>
      <c r="N82" s="58">
        <f>IF(VLOOKUP($B$8,entréesG!$A:$BA,N$76,0)=0,"-",VLOOKUP($B$8,entréesG!$A:$BA,N$76,0))</f>
        <v>14011537</v>
      </c>
      <c r="O82" s="58">
        <f>IF(VLOOKUP($B$8,entréesG!$A:$BA,O$76,0)=0,"-",VLOOKUP($B$8,entréesG!$A:$BA,O$76,0))</f>
        <v>13015911</v>
      </c>
      <c r="P82" s="58">
        <f>IF(VLOOKUP($B$8,entréesG!$A:$BA,P$76,0)=0,"-",VLOOKUP($B$8,entréesG!$A:$BA,P$76,0))</f>
        <v>12464690</v>
      </c>
      <c r="Q82" s="58">
        <f>IF(VLOOKUP($B$8,entréesG!$A:$BA,Q$76,0)=0,"-",VLOOKUP($B$8,entréesG!$A:$BA,Q$76,0))</f>
        <v>12822001</v>
      </c>
      <c r="R82" s="58">
        <f>IF(VLOOKUP($B$8,entréesG!$A:$BA,R$76,0)=0,"-",VLOOKUP($B$8,entréesG!$A:$BA,R$76,0))</f>
        <v>1087950</v>
      </c>
      <c r="S82" s="58">
        <f>IF(VLOOKUP($B$8,entréesG!$A:$BA,S$76,0)=0,"-",VLOOKUP($B$8,entréesG!$A:$BA,S$76,0))</f>
        <v>2220505</v>
      </c>
      <c r="T82" s="58">
        <f>IF(VLOOKUP($B$8,entréesG!$A:$BA,T$76,0)=0,"-",VLOOKUP($B$8,entréesG!$A:$BA,T$76,0))</f>
        <v>6756628</v>
      </c>
      <c r="U82" s="58">
        <f>IF(VLOOKUP($B$8,entréesG!$A:$BA,U$76,0)=0,"-",VLOOKUP($B$8,entréesG!$A:$BA,U$76,0))</f>
        <v>9983406</v>
      </c>
      <c r="V82" s="4"/>
      <c r="W82" s="4"/>
      <c r="X82" s="4"/>
      <c r="Y82" s="4"/>
      <c r="Z82" s="4"/>
      <c r="AA82" s="4"/>
      <c r="AB82" s="4"/>
      <c r="AC82" s="46"/>
      <c r="AD82" s="46"/>
      <c r="AE82" s="46"/>
      <c r="AF82" s="46"/>
      <c r="AG82" s="46"/>
      <c r="AH82" s="46"/>
      <c r="AI82" s="46"/>
      <c r="AJ82" s="46"/>
      <c r="AK82" s="46"/>
      <c r="AL82" s="46"/>
      <c r="AM82" s="46"/>
      <c r="AN82" s="46"/>
      <c r="AO82" s="46"/>
      <c r="AP82" s="46"/>
      <c r="AQ82" s="46"/>
      <c r="AR82" s="46"/>
      <c r="AS82" s="46"/>
      <c r="AT82" s="46"/>
      <c r="AU82" s="46"/>
      <c r="AV82" s="46"/>
    </row>
    <row r="83" spans="1:48" x14ac:dyDescent="0.2">
      <c r="A83" s="46" t="s">
        <v>60</v>
      </c>
      <c r="B83" s="58">
        <f>IF(VLOOKUP($B$8,recettesG!$A:$BA,B$76,0)=0,"-",VLOOKUP($B$8,recettesG!$A:$BA,B$76,0))</f>
        <v>81618766</v>
      </c>
      <c r="C83" s="58">
        <f>IF(VLOOKUP($B$8,recettesG!$A:$BA,C$76,0)=0,"-",VLOOKUP($B$8,recettesG!$A:$BA,C$76,0))</f>
        <v>66616179</v>
      </c>
      <c r="D83" s="58">
        <f>IF(VLOOKUP($B$8,recettesG!$A:$BA,D$76,0)=0,"-",VLOOKUP($B$8,recettesG!$A:$BA,D$76,0))</f>
        <v>71343793</v>
      </c>
      <c r="E83" s="58">
        <f>IF(VLOOKUP($B$8,recettesG!$A:$BA,E$76,0)=0,"-",VLOOKUP($B$8,recettesG!$A:$BA,E$76,0))</f>
        <v>62095510</v>
      </c>
      <c r="F83" s="58">
        <f>IF(VLOOKUP($B$8,recettesG!$A:$BA,F$76,0)=0,"-",VLOOKUP($B$8,recettesG!$A:$BA,F$76,0))</f>
        <v>71154904</v>
      </c>
      <c r="G83" s="58">
        <f>IF(VLOOKUP($B$8,recettesG!$A:$BA,G$76,0)=0,"-",VLOOKUP($B$8,recettesG!$A:$BA,G$76,0))</f>
        <v>83685814</v>
      </c>
      <c r="H83" s="58">
        <f>IF(VLOOKUP($B$8,recettesG!$A:$BA,H$76,0)=0,"-",VLOOKUP($B$8,recettesG!$A:$BA,H$76,0))</f>
        <v>96022704</v>
      </c>
      <c r="I83" s="58">
        <f>IF(VLOOKUP($B$8,recettesG!$A:$BA,I$76,0)=0,"-",VLOOKUP($B$8,recettesG!$A:$BA,I$76,0))</f>
        <v>96952516</v>
      </c>
      <c r="J83" s="58">
        <f>IF(VLOOKUP($B$8,recettesG!$A:$BA,J$76,0)=0,"-",VLOOKUP($B$8,recettesG!$A:$BA,J$76,0))</f>
        <v>86993938</v>
      </c>
      <c r="K83" s="58">
        <f>IF(VLOOKUP($B$8,recettesG!$A:$BA,K$76,0)=0,"-",VLOOKUP($B$8,recettesG!$A:$BA,K$76,0))</f>
        <v>92600568</v>
      </c>
      <c r="L83" s="58">
        <f>IF(VLOOKUP($B$8,recettesG!$A:$BA,L$76,0)=0,"-",VLOOKUP($B$8,recettesG!$A:$BA,L$76,0))</f>
        <v>98091571</v>
      </c>
      <c r="M83" s="58">
        <f>IF(VLOOKUP($B$8,recettesG!$A:$BA,M$76,0)=0,"-",VLOOKUP($B$8,recettesG!$A:$BA,M$76,0))</f>
        <v>97407066</v>
      </c>
      <c r="N83" s="58">
        <f>IF(VLOOKUP($B$8,recettesG!$A:$BA,N$76,0)=0,"-",VLOOKUP($B$8,recettesG!$A:$BA,N$76,0))</f>
        <v>100989319</v>
      </c>
      <c r="O83" s="58">
        <f>IF(VLOOKUP($B$8,recettesG!$A:$BA,O$76,0)=0,"-",VLOOKUP($B$8,recettesG!$A:$BA,O$76,0))</f>
        <v>95482764</v>
      </c>
      <c r="P83" s="58">
        <f>IF(VLOOKUP($B$8,recettesG!$A:$BA,P$76,0)=0,"-",VLOOKUP($B$8,recettesG!$A:$BA,P$76,0))</f>
        <v>91906978</v>
      </c>
      <c r="Q83" s="58">
        <f>IF(VLOOKUP($B$8,recettesG!$A:$BA,Q$76,0)=0,"-",VLOOKUP($B$8,recettesG!$A:$BA,Q$76,0))</f>
        <v>97580180</v>
      </c>
      <c r="R83" s="58">
        <f>IF(VLOOKUP($B$8,recettesG!$A:$BA,R$76,0)=0,"-",VLOOKUP($B$8,recettesG!$A:$BA,R$76,0))</f>
        <v>8161883</v>
      </c>
      <c r="S83" s="58">
        <f>IF(VLOOKUP($B$8,recettesG!$A:$BA,S$76,0)=0,"-",VLOOKUP($B$8,recettesG!$A:$BA,S$76,0))</f>
        <v>18287333</v>
      </c>
      <c r="T83" s="58">
        <f>IF(VLOOKUP($B$8,recettesG!$A:$BA,T$76,0)=0,"-",VLOOKUP($B$8,recettesG!$A:$BA,T$76,0))</f>
        <v>56120379</v>
      </c>
      <c r="U83" s="58">
        <f>IF(VLOOKUP($B$8,recettesG!$A:$BA,U$76,0)=0,"-",VLOOKUP($B$8,recettesG!$A:$BA,U$76,0))</f>
        <v>86629762</v>
      </c>
      <c r="V83" s="4"/>
      <c r="W83" s="4"/>
      <c r="X83" s="4"/>
      <c r="Y83" s="4"/>
      <c r="Z83" s="4"/>
      <c r="AA83" s="4"/>
      <c r="AB83" s="4"/>
      <c r="AC83" s="46"/>
      <c r="AD83" s="46"/>
      <c r="AE83" s="46"/>
      <c r="AF83" s="46"/>
      <c r="AG83" s="46"/>
      <c r="AH83" s="46"/>
      <c r="AI83" s="46"/>
      <c r="AJ83" s="46"/>
      <c r="AK83" s="46"/>
      <c r="AL83" s="46"/>
      <c r="AM83" s="46"/>
      <c r="AN83" s="46"/>
      <c r="AO83" s="46"/>
      <c r="AP83" s="46"/>
      <c r="AQ83" s="46"/>
      <c r="AR83" s="46"/>
      <c r="AS83" s="46"/>
      <c r="AT83" s="46"/>
      <c r="AU83" s="46"/>
      <c r="AV83" s="46"/>
    </row>
    <row r="84" spans="1:48" x14ac:dyDescent="0.2">
      <c r="A84" s="46" t="s">
        <v>61</v>
      </c>
      <c r="B84" s="65">
        <f>IF(VLOOKUP($B$8,RMEG!$A:$BA,B$76,0)=0,"-",VLOOKUP($B$8,RMEG!$A:$BA,B$76,0))</f>
        <v>6.1867494227028184</v>
      </c>
      <c r="C84" s="65">
        <f>IF(VLOOKUP($B$8,RMEG!$A:$BA,C$76,0)=0,"-",VLOOKUP($B$8,RMEG!$A:$BA,C$76,0))</f>
        <v>6.3441025460814258</v>
      </c>
      <c r="D84" s="65">
        <f>IF(VLOOKUP($B$8,RMEG!$A:$BA,D$76,0)=0,"-",VLOOKUP($B$8,RMEG!$A:$BA,D$76,0))</f>
        <v>6.4574990803938519</v>
      </c>
      <c r="E84" s="65">
        <f>IF(VLOOKUP($B$8,RMEG!$A:$BA,E$76,0)=0,"-",VLOOKUP($B$8,RMEG!$A:$BA,E$76,0))</f>
        <v>6.5020754743455207</v>
      </c>
      <c r="F84" s="65">
        <f>IF(VLOOKUP($B$8,RMEG!$A:$BA,F$76,0)=0,"-",VLOOKUP($B$8,RMEG!$A:$BA,F$76,0))</f>
        <v>6.5340369098513813</v>
      </c>
      <c r="G84" s="65">
        <f>IF(VLOOKUP($B$8,RMEG!$A:$BA,G$76,0)=0,"-",VLOOKUP($B$8,RMEG!$A:$BA,G$76,0))</f>
        <v>6.7117357389534336</v>
      </c>
      <c r="H84" s="65">
        <f>IF(VLOOKUP($B$8,RMEG!$A:$BA,H$76,0)=0,"-",VLOOKUP($B$8,RMEG!$A:$BA,H$76,0))</f>
        <v>6.9874896021994912</v>
      </c>
      <c r="I84" s="65">
        <f>IF(VLOOKUP($B$8,RMEG!$A:$BA,I$76,0)=0,"-",VLOOKUP($B$8,RMEG!$A:$BA,I$76,0))</f>
        <v>6.9351852050551219</v>
      </c>
      <c r="J84" s="65">
        <f>IF(VLOOKUP($B$8,RMEG!$A:$BA,J$76,0)=0,"-",VLOOKUP($B$8,RMEG!$A:$BA,J$76,0))</f>
        <v>7.075422344715987</v>
      </c>
      <c r="K84" s="65">
        <f>IF(VLOOKUP($B$8,RMEG!$A:$BA,K$76,0)=0,"-",VLOOKUP($B$8,RMEG!$A:$BA,K$76,0))</f>
        <v>7.1053261458975392</v>
      </c>
      <c r="L84" s="65">
        <f>IF(VLOOKUP($B$8,RMEG!$A:$BA,L$76,0)=0,"-",VLOOKUP($B$8,RMEG!$A:$BA,L$76,0))</f>
        <v>7.0330473364041453</v>
      </c>
      <c r="M84" s="65">
        <f>IF(VLOOKUP($B$8,RMEG!$A:$BA,M$76,0)=0,"-",VLOOKUP($B$8,RMEG!$A:$BA,M$76,0))</f>
        <v>7.1435712595813348</v>
      </c>
      <c r="N84" s="65">
        <f>IF(VLOOKUP($B$8,RMEG!$A:$BA,N$76,0)=0,"-",VLOOKUP($B$8,RMEG!$A:$BA,N$76,0))</f>
        <v>7.2075832223117278</v>
      </c>
      <c r="O84" s="65">
        <f>IF(VLOOKUP($B$8,RMEG!$A:$BA,O$76,0)=0,"-",VLOOKUP($B$8,RMEG!$A:$BA,O$76,0))</f>
        <v>7.3358494845270528</v>
      </c>
      <c r="P84" s="65">
        <f>IF(VLOOKUP($B$8,RMEG!$A:$BA,P$76,0)=0,"-",VLOOKUP($B$8,RMEG!$A:$BA,P$76,0))</f>
        <v>7.3733865824180143</v>
      </c>
      <c r="Q84" s="65">
        <f>IF(VLOOKUP($B$8,RMEG!$A:$BA,Q$76,0)=0,"-",VLOOKUP($B$8,RMEG!$A:$BA,Q$76,0))</f>
        <v>7.6103706433964557</v>
      </c>
      <c r="R84" s="65">
        <f>IF(VLOOKUP($B$8,RMEG!$A:$BA,R$76,0)=0,"-",VLOOKUP($B$8,RMEG!$A:$BA,R$76,0))</f>
        <v>7.5020754630267934</v>
      </c>
      <c r="S84" s="65">
        <f>IF(VLOOKUP($B$8,RMEG!$A:$BA,S$76,0)=0,"-",VLOOKUP($B$8,RMEG!$A:$BA,S$76,0))</f>
        <v>8.2356639593245689</v>
      </c>
      <c r="T84" s="65">
        <f>IF(VLOOKUP($B$8,RMEG!$A:$BA,T$76,0)=0,"-",VLOOKUP($B$8,RMEG!$A:$BA,T$76,0))</f>
        <v>8.3059743706476077</v>
      </c>
      <c r="U84" s="65">
        <f>IF(VLOOKUP($B$8,RMEG!$A:$BA,U$76,0)=0,"-",VLOOKUP($B$8,RMEG!$A:$BA,U$76,0))</f>
        <v>8.6773754367998261</v>
      </c>
      <c r="V84" s="4"/>
      <c r="W84" s="4"/>
      <c r="X84" s="4"/>
      <c r="Y84" s="4"/>
      <c r="Z84" s="4"/>
      <c r="AA84" s="4"/>
      <c r="AB84" s="4"/>
      <c r="AC84" s="46"/>
      <c r="AD84" s="46"/>
      <c r="AE84" s="46"/>
      <c r="AF84" s="46"/>
      <c r="AG84" s="46"/>
      <c r="AH84" s="46"/>
      <c r="AI84" s="46"/>
      <c r="AJ84" s="46"/>
      <c r="AK84" s="46"/>
      <c r="AL84" s="46"/>
      <c r="AM84" s="46"/>
      <c r="AN84" s="46"/>
      <c r="AO84" s="46"/>
      <c r="AP84" s="46"/>
      <c r="AQ84" s="46"/>
      <c r="AR84" s="46"/>
      <c r="AS84" s="46"/>
      <c r="AT84" s="46"/>
      <c r="AU84" s="46"/>
      <c r="AV84" s="46"/>
    </row>
    <row r="85" spans="1:48" x14ac:dyDescent="0.2">
      <c r="A85" s="46" t="s">
        <v>62</v>
      </c>
      <c r="B85" s="65">
        <f>IF(VLOOKUP($B$8,'indice de fréquentationG'!$A:$BB,B$76,0)=0,"-",VLOOKUP($B$8,'indice de fréquentationG'!$A:$BB,B$76,0))</f>
        <v>1.7931354880660944</v>
      </c>
      <c r="C85" s="65">
        <f>IF(VLOOKUP($B$8,'indice de fréquentationG'!$A:$BB,C$76,0)=0,"-",VLOOKUP($B$8,'indice de fréquentationG'!$A:$BB,C$76,0))</f>
        <v>1.2727084860007374</v>
      </c>
      <c r="D85" s="65">
        <f>IF(VLOOKUP($B$8,'indice de fréquentationG'!$A:$BB,D$76,0)=0,"-",VLOOKUP($B$8,'indice de fréquentationG'!$A:$BB,D$76,0))</f>
        <v>1.3390945961374976</v>
      </c>
      <c r="E85" s="65">
        <f>IF(VLOOKUP($B$8,'indice de fréquentationG'!$A:$BB,E$76,0)=0,"-",VLOOKUP($B$8,'indice de fréquentationG'!$A:$BB,E$76,0))</f>
        <v>1.1575176116470918</v>
      </c>
      <c r="F85" s="65">
        <f>IF(VLOOKUP($B$8,'indice de fréquentationG'!$A:$BB,F$76,0)=0,"-",VLOOKUP($B$8,'indice de fréquentationG'!$A:$BB,F$76,0))</f>
        <v>1.3199049852215126</v>
      </c>
      <c r="G85" s="65">
        <f>IF(VLOOKUP($B$8,'indice de fréquentationG'!$A:$BB,G$76,0)=0,"-",VLOOKUP($B$8,'indice de fréquentationG'!$A:$BB,G$76,0))</f>
        <v>1.5112503402821598</v>
      </c>
      <c r="H85" s="65">
        <f>IF(VLOOKUP($B$8,'indice de fréquentationG'!$A:$BB,H$76,0)=0,"-",VLOOKUP($B$8,'indice de fréquentationG'!$A:$BB,H$76,0))</f>
        <v>1.6656056004322644</v>
      </c>
      <c r="I85" s="65">
        <f>IF(VLOOKUP($B$8,'indice de fréquentationG'!$A:$BB,I$76,0)=0,"-",VLOOKUP($B$8,'indice de fréquentationG'!$A:$BB,I$76,0))</f>
        <v>1.6944175302702646</v>
      </c>
      <c r="J85" s="65">
        <f>IF(VLOOKUP($B$8,'indice de fréquentationG'!$A:$BB,J$76,0)=0,"-",VLOOKUP($B$8,'indice de fréquentationG'!$A:$BB,J$76,0))</f>
        <v>1.4902393865297474</v>
      </c>
      <c r="K85" s="65">
        <f>IF(VLOOKUP($B$8,'indice de fréquentationG'!$A:$BB,K$76,0)=0,"-",VLOOKUP($B$8,'indice de fréquentationG'!$A:$BB,K$76,0))</f>
        <v>1.5796069962254435</v>
      </c>
      <c r="L85" s="65">
        <f>IF(VLOOKUP($B$8,'indice de fréquentationG'!$A:$BB,L$76,0)=0,"-",VLOOKUP($B$8,'indice de fréquentationG'!$A:$BB,L$76,0))</f>
        <v>1.6904703784228508</v>
      </c>
      <c r="M85" s="65">
        <f>IF(VLOOKUP($B$8,'indice de fréquentationG'!$A:$BB,M$76,0)=0,"-",VLOOKUP($B$8,'indice de fréquentationG'!$A:$BB,M$76,0))</f>
        <v>1.6527017858056221</v>
      </c>
      <c r="N85" s="65">
        <f>IF(VLOOKUP($B$8,'indice de fréquentationG'!$A:$BB,N$76,0)=0,"-",VLOOKUP($B$8,'indice de fréquentationG'!$A:$BB,N$76,0))</f>
        <v>1.6982639610225119</v>
      </c>
      <c r="O85" s="65">
        <f>IF(VLOOKUP($B$8,'indice de fréquentationG'!$A:$BB,O$76,0)=0,"-",VLOOKUP($B$8,'indice de fréquentationG'!$A:$BB,O$76,0))</f>
        <v>1.5775894230002379</v>
      </c>
      <c r="P85" s="65">
        <f>IF(VLOOKUP($B$8,'indice de fréquentationG'!$A:$BB,P$76,0)=0,"-",VLOOKUP($B$8,'indice de fréquentationG'!$A:$BB,P$76,0))</f>
        <v>1.5107788540484668</v>
      </c>
      <c r="Q85" s="65">
        <f>IF(VLOOKUP($B$8,'indice de fréquentationG'!$A:$BB,Q$76,0)=0,"-",VLOOKUP($B$8,'indice de fréquentationG'!$A:$BB,Q$76,0))</f>
        <v>1.5540866220811185</v>
      </c>
      <c r="R85" s="65">
        <f>IF(VLOOKUP($B$8,'indice de fréquentationG'!$A:$BB,R$76,0)=0,"-",VLOOKUP($B$8,'indice de fréquentationG'!$A:$BB,R$76,0))</f>
        <v>0.13186463957483335</v>
      </c>
      <c r="S85" s="65">
        <f>IF(VLOOKUP($B$8,'indice de fréquentationG'!$A:$BB,S$76,0)=0,"-",VLOOKUP($B$8,'indice de fréquentationG'!$A:$BB,S$76,0))</f>
        <v>0.26913561422778193</v>
      </c>
      <c r="T85" s="65">
        <f>IF(VLOOKUP($B$8,'indice de fréquentationG'!$A:$BB,T$76,0)=0,"-",VLOOKUP($B$8,'indice de fréquentationG'!$A:$BB,T$76,0))</f>
        <v>0.81893498410885346</v>
      </c>
      <c r="U85" s="65">
        <f>IF(VLOOKUP($B$8,'indice de fréquentationG'!$A:$BB,U$76,0)=0,"-",VLOOKUP($B$8,'indice de fréquentationG'!$A:$BB,U$76,0))</f>
        <v>1.2100356026648547</v>
      </c>
      <c r="V85" s="4"/>
      <c r="W85" s="4"/>
      <c r="X85" s="4"/>
      <c r="Y85" s="4"/>
      <c r="Z85" s="4"/>
      <c r="AA85" s="4"/>
      <c r="AB85" s="4"/>
      <c r="AC85" s="46"/>
      <c r="AD85" s="46"/>
      <c r="AE85" s="46"/>
      <c r="AF85" s="46"/>
      <c r="AG85" s="46"/>
      <c r="AH85" s="46"/>
      <c r="AI85" s="46"/>
      <c r="AJ85" s="46"/>
      <c r="AK85" s="46"/>
      <c r="AL85" s="46"/>
      <c r="AM85" s="46"/>
      <c r="AN85" s="46"/>
      <c r="AO85" s="46"/>
      <c r="AP85" s="46"/>
      <c r="AQ85" s="46"/>
      <c r="AR85" s="46"/>
      <c r="AS85" s="46"/>
      <c r="AT85" s="46"/>
      <c r="AU85" s="46"/>
      <c r="AV85" s="46"/>
    </row>
    <row r="86" spans="1:48" x14ac:dyDescent="0.2">
      <c r="A86" s="46" t="s">
        <v>66</v>
      </c>
      <c r="B86" s="64">
        <f>IF(VLOOKUP($B$8,tmofG!$A:$BB,B$76,0)=0,"-",VLOOKUP($B$8,tmofG!$A:$BB,B$76,0))</f>
        <v>19.028027284458748</v>
      </c>
      <c r="C86" s="64">
        <f>IF(VLOOKUP($B$8,tmofG!$A:$BB,C$76,0)=0,"-",VLOOKUP($B$8,tmofG!$A:$BB,C$76,0))</f>
        <v>17.720693766168289</v>
      </c>
      <c r="D86" s="64">
        <f>IF(VLOOKUP($B$8,tmofG!$A:$BB,D$76,0)=0,"-",VLOOKUP($B$8,tmofG!$A:$BB,D$76,0))</f>
        <v>17.78415558890395</v>
      </c>
      <c r="E86" s="64">
        <f>IF(VLOOKUP($B$8,tmofG!$A:$BB,E$76,0)=0,"-",VLOOKUP($B$8,tmofG!$A:$BB,E$76,0))</f>
        <v>17.061225940864968</v>
      </c>
      <c r="F86" s="64">
        <f>IF(VLOOKUP($B$8,tmofG!$A:$BB,F$76,0)=0,"-",VLOOKUP($B$8,tmofG!$A:$BB,F$76,0))</f>
        <v>17.016427212787853</v>
      </c>
      <c r="G86" s="64">
        <f>IF(VLOOKUP($B$8,tmofG!$A:$BB,G$76,0)=0,"-",VLOOKUP($B$8,tmofG!$A:$BB,G$76,0))</f>
        <v>17.366615592461407</v>
      </c>
      <c r="H86" s="64">
        <f>IF(VLOOKUP($B$8,tmofG!$A:$BB,H$76,0)=0,"-",VLOOKUP($B$8,tmofG!$A:$BB,H$76,0))</f>
        <v>18.351480140956483</v>
      </c>
      <c r="I86" s="64">
        <f>IF(VLOOKUP($B$8,tmofG!$A:$BB,I$76,0)=0,"-",VLOOKUP($B$8,tmofG!$A:$BB,I$76,0))</f>
        <v>17.565411437957</v>
      </c>
      <c r="J86" s="64">
        <f>IF(VLOOKUP($B$8,tmofG!$A:$BB,J$76,0)=0,"-",VLOOKUP($B$8,tmofG!$A:$BB,J$76,0))</f>
        <v>15.850414094154214</v>
      </c>
      <c r="K86" s="64">
        <f>IF(VLOOKUP($B$8,tmofG!$A:$BB,K$76,0)=0,"-",VLOOKUP($B$8,tmofG!$A:$BB,K$76,0))</f>
        <v>14.97374574992233</v>
      </c>
      <c r="L86" s="64">
        <f>IF(VLOOKUP($B$8,tmofG!$A:$BB,L$76,0)=0,"-",VLOOKUP($B$8,tmofG!$A:$BB,L$76,0))</f>
        <v>14.778266391932107</v>
      </c>
      <c r="M86" s="64">
        <f>IF(VLOOKUP($B$8,tmofG!$A:$BB,M$76,0)=0,"-",VLOOKUP($B$8,tmofG!$A:$BB,M$76,0))</f>
        <v>13.82004328338167</v>
      </c>
      <c r="N86" s="64">
        <f>IF(VLOOKUP($B$8,tmofG!$A:$BB,N$76,0)=0,"-",VLOOKUP($B$8,tmofG!$A:$BB,N$76,0))</f>
        <v>14.175629121237248</v>
      </c>
      <c r="O86" s="64">
        <f>IF(VLOOKUP($B$8,tmofG!$A:$BB,O$76,0)=0,"-",VLOOKUP($B$8,tmofG!$A:$BB,O$76,0))</f>
        <v>13.036164767753068</v>
      </c>
      <c r="P86" s="64">
        <f>IF(VLOOKUP($B$8,tmofG!$A:$BB,P$76,0)=0,"-",VLOOKUP($B$8,tmofG!$A:$BB,P$76,0))</f>
        <v>12.061387593567828</v>
      </c>
      <c r="Q86" s="64">
        <f>IF(VLOOKUP($B$8,tmofG!$A:$BB,Q$76,0)=0,"-",VLOOKUP($B$8,tmofG!$A:$BB,Q$76,0))</f>
        <v>12.798360508386933</v>
      </c>
      <c r="R86" s="64">
        <f>IF(VLOOKUP($B$8,tmofG!$A:$BB,R$76,0)=0,"-",VLOOKUP($B$8,tmofG!$A:$BB,R$76,0))</f>
        <v>8.8209139211121084</v>
      </c>
      <c r="S86" s="64">
        <f>IF(VLOOKUP($B$8,tmofG!$A:$BB,S$76,0)=0,"-",VLOOKUP($B$8,tmofG!$A:$BB,S$76,0))</f>
        <v>11.57726161074722</v>
      </c>
      <c r="T86" s="64">
        <f>IF(VLOOKUP($B$8,tmofG!$A:$BB,T$76,0)=0,"-",VLOOKUP($B$8,tmofG!$A:$BB,T$76,0))</f>
        <v>10.169978644277293</v>
      </c>
      <c r="U86" s="64">
        <f>IF(VLOOKUP($B$8,tmofG!$A:$BB,U$76,0)=0,"-",VLOOKUP($B$8,tmofG!$A:$BB,U$76,0))</f>
        <v>12.047567989633261</v>
      </c>
      <c r="V86" s="4"/>
      <c r="W86" s="4"/>
      <c r="X86" s="4"/>
      <c r="Y86" s="4"/>
      <c r="Z86" s="4"/>
      <c r="AA86" s="4"/>
      <c r="AB86" s="4"/>
      <c r="AC86" s="46"/>
      <c r="AD86" s="46"/>
      <c r="AE86" s="46"/>
      <c r="AF86" s="46"/>
      <c r="AG86" s="46"/>
      <c r="AH86" s="46"/>
      <c r="AI86" s="46"/>
      <c r="AJ86" s="46"/>
      <c r="AK86" s="46"/>
      <c r="AL86" s="46"/>
      <c r="AM86" s="46"/>
      <c r="AN86" s="46"/>
      <c r="AO86" s="46"/>
      <c r="AP86" s="46"/>
      <c r="AQ86" s="46"/>
      <c r="AR86" s="46"/>
      <c r="AS86" s="46"/>
      <c r="AT86" s="46"/>
      <c r="AU86" s="46"/>
      <c r="AV86" s="46"/>
    </row>
  </sheetData>
  <mergeCells count="1">
    <mergeCell ref="E5:I5"/>
  </mergeCells>
  <hyperlinks>
    <hyperlink ref="A2" location="Sommaire!A1" display="Retour au menu &quot;Exploitation des films&quot;" xr:uid="{00000000-0004-0000-02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établissements!$A$8:$A$20</xm:f>
          </x14:formula1>
          <xm:sqref>E5:I5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BH21"/>
  <sheetViews>
    <sheetView workbookViewId="0"/>
  </sheetViews>
  <sheetFormatPr baseColWidth="10" defaultColWidth="5.5703125" defaultRowHeight="12" x14ac:dyDescent="0.2"/>
  <cols>
    <col min="1" max="1" width="28.85546875" style="1" bestFit="1" customWidth="1"/>
    <col min="2" max="27" width="5" style="1" hidden="1" customWidth="1"/>
    <col min="28" max="38" width="5.42578125" style="1" bestFit="1" customWidth="1"/>
    <col min="39" max="51" width="5.42578125" style="4" bestFit="1" customWidth="1"/>
    <col min="52" max="55" width="5.42578125" style="1" bestFit="1" customWidth="1"/>
    <col min="56"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row>
    <row r="3" spans="1:60" s="36" customFormat="1" ht="12.75" x14ac:dyDescent="0.2">
      <c r="AM3" s="37"/>
      <c r="AN3" s="37"/>
      <c r="AO3" s="37"/>
      <c r="AP3" s="37"/>
      <c r="AQ3" s="37"/>
      <c r="AR3" s="37"/>
      <c r="AS3" s="37"/>
      <c r="AT3" s="37"/>
      <c r="AU3" s="37"/>
      <c r="AV3" s="37"/>
      <c r="AW3" s="37"/>
      <c r="AX3" s="37"/>
      <c r="AY3" s="37"/>
      <c r="AZ3" s="37"/>
      <c r="BA3" s="37"/>
      <c r="BB3" s="37"/>
      <c r="BC3" s="37"/>
      <c r="BD3" s="37"/>
      <c r="BE3" s="37"/>
    </row>
    <row r="4" spans="1:60" s="36" customFormat="1" ht="12.75" x14ac:dyDescent="0.2">
      <c r="AM4" s="37"/>
      <c r="AN4" s="37"/>
      <c r="AO4" s="37"/>
      <c r="AP4" s="37"/>
      <c r="AQ4" s="37"/>
      <c r="AR4" s="37"/>
      <c r="AS4" s="37"/>
      <c r="AT4" s="37"/>
      <c r="AU4" s="37"/>
      <c r="AV4" s="37"/>
      <c r="AW4" s="37"/>
      <c r="AX4" s="37"/>
      <c r="AY4" s="37"/>
      <c r="AZ4" s="37"/>
      <c r="BA4" s="37"/>
      <c r="BB4" s="37"/>
      <c r="BC4" s="37"/>
      <c r="BD4" s="37"/>
      <c r="BE4" s="37"/>
    </row>
    <row r="5" spans="1:60" ht="12.75" x14ac:dyDescent="0.2">
      <c r="A5" s="3" t="s">
        <v>6</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5"/>
      <c r="B7" s="6">
        <v>1966</v>
      </c>
      <c r="C7" s="6">
        <v>1967</v>
      </c>
      <c r="D7" s="6">
        <v>1968</v>
      </c>
      <c r="E7" s="6">
        <v>1969</v>
      </c>
      <c r="F7" s="6">
        <v>1970</v>
      </c>
      <c r="G7" s="6">
        <v>1971</v>
      </c>
      <c r="H7" s="6">
        <v>1972</v>
      </c>
      <c r="I7" s="6">
        <v>1973</v>
      </c>
      <c r="J7" s="6">
        <v>1974</v>
      </c>
      <c r="K7" s="6">
        <v>1975</v>
      </c>
      <c r="L7" s="6">
        <v>1976</v>
      </c>
      <c r="M7" s="6">
        <v>1977</v>
      </c>
      <c r="N7" s="6">
        <v>1978</v>
      </c>
      <c r="O7" s="6">
        <v>1979</v>
      </c>
      <c r="P7" s="6">
        <v>1980</v>
      </c>
      <c r="Q7" s="6">
        <v>1981</v>
      </c>
      <c r="R7" s="6">
        <v>1982</v>
      </c>
      <c r="S7" s="6">
        <v>1983</v>
      </c>
      <c r="T7" s="6">
        <v>1984</v>
      </c>
      <c r="U7" s="6">
        <v>1985</v>
      </c>
      <c r="V7" s="6">
        <v>1986</v>
      </c>
      <c r="W7" s="6">
        <v>1987</v>
      </c>
      <c r="X7" s="6">
        <v>1988</v>
      </c>
      <c r="Y7" s="6">
        <v>1989</v>
      </c>
      <c r="Z7" s="6">
        <v>1990</v>
      </c>
      <c r="AA7" s="6">
        <v>1991</v>
      </c>
      <c r="AB7" s="6">
        <v>1992</v>
      </c>
      <c r="AC7" s="6">
        <v>1993</v>
      </c>
      <c r="AD7" s="6">
        <v>1994</v>
      </c>
      <c r="AE7" s="6">
        <v>1995</v>
      </c>
      <c r="AF7" s="6">
        <v>1996</v>
      </c>
      <c r="AG7" s="6">
        <v>1997</v>
      </c>
      <c r="AH7" s="6">
        <v>1998</v>
      </c>
      <c r="AI7" s="6">
        <v>1999</v>
      </c>
      <c r="AJ7" s="6">
        <v>2000</v>
      </c>
      <c r="AK7" s="6">
        <v>2001</v>
      </c>
      <c r="AL7" s="6">
        <v>2002</v>
      </c>
      <c r="AM7" s="6">
        <v>2003</v>
      </c>
      <c r="AN7" s="6">
        <v>2004</v>
      </c>
      <c r="AO7" s="6">
        <v>2005</v>
      </c>
      <c r="AP7" s="6">
        <v>2006</v>
      </c>
      <c r="AQ7" s="6">
        <v>2007</v>
      </c>
      <c r="AR7" s="6">
        <v>2008</v>
      </c>
      <c r="AS7" s="6">
        <v>2009</v>
      </c>
      <c r="AT7" s="6">
        <v>2010</v>
      </c>
      <c r="AU7" s="6">
        <v>2011</v>
      </c>
      <c r="AV7" s="6">
        <v>2012</v>
      </c>
      <c r="AW7" s="6">
        <v>2013</v>
      </c>
      <c r="AX7" s="6">
        <v>2014</v>
      </c>
      <c r="AY7" s="6">
        <v>2015</v>
      </c>
      <c r="AZ7" s="6">
        <v>2016</v>
      </c>
      <c r="BA7" s="6">
        <v>2017</v>
      </c>
      <c r="BB7" s="6">
        <v>2018</v>
      </c>
      <c r="BC7" s="6">
        <v>2019</v>
      </c>
      <c r="BD7" s="6">
        <v>2020</v>
      </c>
      <c r="BE7" s="6">
        <v>2021</v>
      </c>
      <c r="BF7" s="6">
        <v>2022</v>
      </c>
      <c r="BG7" s="6">
        <v>2023</v>
      </c>
      <c r="BH7" s="6">
        <v>2024</v>
      </c>
    </row>
    <row r="8" spans="1:60" x14ac:dyDescent="0.2">
      <c r="A8" s="7" t="s">
        <v>72</v>
      </c>
      <c r="B8" s="8"/>
      <c r="C8" s="8"/>
      <c r="D8" s="8"/>
      <c r="E8" s="8"/>
      <c r="F8" s="8"/>
      <c r="G8" s="8"/>
      <c r="H8" s="8"/>
      <c r="I8" s="8"/>
      <c r="J8" s="8"/>
      <c r="K8" s="8"/>
      <c r="L8" s="8"/>
      <c r="M8" s="8"/>
      <c r="N8" s="8"/>
      <c r="O8" s="8"/>
      <c r="P8" s="8"/>
      <c r="Q8" s="8"/>
      <c r="R8" s="8"/>
      <c r="S8" s="8"/>
      <c r="T8" s="8"/>
      <c r="U8" s="8"/>
      <c r="V8" s="8"/>
      <c r="W8" s="8"/>
      <c r="X8" s="8"/>
      <c r="Y8" s="8"/>
      <c r="Z8" s="8"/>
      <c r="AA8" s="8"/>
      <c r="AB8" s="8">
        <v>343</v>
      </c>
      <c r="AC8" s="8">
        <v>336</v>
      </c>
      <c r="AD8" s="8">
        <v>335</v>
      </c>
      <c r="AE8" s="8">
        <v>342</v>
      </c>
      <c r="AF8" s="8">
        <v>343</v>
      </c>
      <c r="AG8" s="8">
        <v>347</v>
      </c>
      <c r="AH8" s="8">
        <v>349</v>
      </c>
      <c r="AI8" s="8">
        <v>359</v>
      </c>
      <c r="AJ8" s="8">
        <v>353</v>
      </c>
      <c r="AK8" s="8">
        <v>352</v>
      </c>
      <c r="AL8" s="8">
        <v>350</v>
      </c>
      <c r="AM8" s="8">
        <v>349</v>
      </c>
      <c r="AN8" s="8">
        <v>346</v>
      </c>
      <c r="AO8" s="8">
        <v>339</v>
      </c>
      <c r="AP8" s="8">
        <v>343</v>
      </c>
      <c r="AQ8" s="8">
        <v>345</v>
      </c>
      <c r="AR8" s="8">
        <v>350</v>
      </c>
      <c r="AS8" s="8">
        <v>349</v>
      </c>
      <c r="AT8" s="8">
        <v>344</v>
      </c>
      <c r="AU8" s="8">
        <v>339</v>
      </c>
      <c r="AV8" s="8">
        <v>334</v>
      </c>
      <c r="AW8" s="8">
        <v>321</v>
      </c>
      <c r="AX8" s="8">
        <v>316</v>
      </c>
      <c r="AY8" s="8">
        <v>324</v>
      </c>
      <c r="AZ8" s="8">
        <v>324</v>
      </c>
      <c r="BA8" s="8">
        <v>325</v>
      </c>
      <c r="BB8" s="8">
        <v>324</v>
      </c>
      <c r="BC8" s="8">
        <v>323</v>
      </c>
      <c r="BD8" s="8">
        <v>322</v>
      </c>
      <c r="BE8" s="8">
        <v>320</v>
      </c>
      <c r="BF8" s="8">
        <v>323</v>
      </c>
      <c r="BG8" s="8">
        <v>322</v>
      </c>
      <c r="BH8" s="8">
        <v>320</v>
      </c>
    </row>
    <row r="9" spans="1:60" x14ac:dyDescent="0.2">
      <c r="A9" s="7" t="s">
        <v>73</v>
      </c>
      <c r="B9" s="8"/>
      <c r="C9" s="8"/>
      <c r="D9" s="8"/>
      <c r="E9" s="8"/>
      <c r="F9" s="8"/>
      <c r="G9" s="8"/>
      <c r="H9" s="8"/>
      <c r="I9" s="8"/>
      <c r="J9" s="8"/>
      <c r="K9" s="8"/>
      <c r="L9" s="8"/>
      <c r="M9" s="8"/>
      <c r="N9" s="8"/>
      <c r="O9" s="8"/>
      <c r="P9" s="8"/>
      <c r="Q9" s="8"/>
      <c r="R9" s="8"/>
      <c r="S9" s="8"/>
      <c r="T9" s="8"/>
      <c r="U9" s="8"/>
      <c r="V9" s="8"/>
      <c r="W9" s="8"/>
      <c r="X9" s="8"/>
      <c r="Y9" s="8"/>
      <c r="Z9" s="8"/>
      <c r="AA9" s="8"/>
      <c r="AB9" s="8">
        <v>106</v>
      </c>
      <c r="AC9" s="8">
        <v>105</v>
      </c>
      <c r="AD9" s="8">
        <v>103</v>
      </c>
      <c r="AE9" s="8">
        <v>106</v>
      </c>
      <c r="AF9" s="8">
        <v>103</v>
      </c>
      <c r="AG9" s="8">
        <v>102</v>
      </c>
      <c r="AH9" s="8">
        <v>103</v>
      </c>
      <c r="AI9" s="8">
        <v>107</v>
      </c>
      <c r="AJ9" s="8">
        <v>108</v>
      </c>
      <c r="AK9" s="8">
        <v>107</v>
      </c>
      <c r="AL9" s="8">
        <v>108</v>
      </c>
      <c r="AM9" s="8">
        <v>101</v>
      </c>
      <c r="AN9" s="8">
        <v>100</v>
      </c>
      <c r="AO9" s="8">
        <v>100</v>
      </c>
      <c r="AP9" s="8">
        <v>96</v>
      </c>
      <c r="AQ9" s="8">
        <v>97</v>
      </c>
      <c r="AR9" s="8">
        <v>100</v>
      </c>
      <c r="AS9" s="8">
        <v>100</v>
      </c>
      <c r="AT9" s="8">
        <v>98</v>
      </c>
      <c r="AU9" s="8">
        <v>98</v>
      </c>
      <c r="AV9" s="8">
        <v>97</v>
      </c>
      <c r="AW9" s="8">
        <v>98</v>
      </c>
      <c r="AX9" s="8">
        <v>94</v>
      </c>
      <c r="AY9" s="8">
        <v>91</v>
      </c>
      <c r="AZ9" s="8">
        <v>91</v>
      </c>
      <c r="BA9" s="8">
        <v>92</v>
      </c>
      <c r="BB9" s="8">
        <v>92</v>
      </c>
      <c r="BC9" s="8">
        <v>91</v>
      </c>
      <c r="BD9" s="8">
        <v>92</v>
      </c>
      <c r="BE9" s="8">
        <v>90</v>
      </c>
      <c r="BF9" s="8">
        <v>92</v>
      </c>
      <c r="BG9" s="8">
        <v>91</v>
      </c>
      <c r="BH9" s="8">
        <v>91</v>
      </c>
    </row>
    <row r="10" spans="1:60" x14ac:dyDescent="0.2">
      <c r="A10" s="7" t="s">
        <v>1</v>
      </c>
      <c r="B10" s="8"/>
      <c r="C10" s="8"/>
      <c r="D10" s="8"/>
      <c r="E10" s="8"/>
      <c r="F10" s="8"/>
      <c r="G10" s="8"/>
      <c r="H10" s="8"/>
      <c r="I10" s="8"/>
      <c r="J10" s="8"/>
      <c r="K10" s="8"/>
      <c r="L10" s="8"/>
      <c r="M10" s="8"/>
      <c r="N10" s="8"/>
      <c r="O10" s="8"/>
      <c r="P10" s="8"/>
      <c r="Q10" s="8"/>
      <c r="R10" s="8"/>
      <c r="S10" s="8"/>
      <c r="T10" s="8"/>
      <c r="U10" s="8"/>
      <c r="V10" s="8"/>
      <c r="W10" s="8"/>
      <c r="X10" s="8"/>
      <c r="Y10" s="8"/>
      <c r="Z10" s="8"/>
      <c r="AA10" s="8"/>
      <c r="AB10" s="8">
        <v>136</v>
      </c>
      <c r="AC10" s="8">
        <v>135</v>
      </c>
      <c r="AD10" s="8">
        <v>137</v>
      </c>
      <c r="AE10" s="8">
        <v>136</v>
      </c>
      <c r="AF10" s="8">
        <v>137</v>
      </c>
      <c r="AG10" s="8">
        <v>134</v>
      </c>
      <c r="AH10" s="8">
        <v>131</v>
      </c>
      <c r="AI10" s="8">
        <v>135</v>
      </c>
      <c r="AJ10" s="8">
        <v>134</v>
      </c>
      <c r="AK10" s="8">
        <v>133</v>
      </c>
      <c r="AL10" s="8">
        <v>128</v>
      </c>
      <c r="AM10" s="8">
        <v>127</v>
      </c>
      <c r="AN10" s="8">
        <v>127</v>
      </c>
      <c r="AO10" s="8">
        <v>131</v>
      </c>
      <c r="AP10" s="8">
        <v>126</v>
      </c>
      <c r="AQ10" s="8">
        <v>125</v>
      </c>
      <c r="AR10" s="8">
        <v>127</v>
      </c>
      <c r="AS10" s="8">
        <v>127</v>
      </c>
      <c r="AT10" s="8">
        <v>124</v>
      </c>
      <c r="AU10" s="8">
        <v>125</v>
      </c>
      <c r="AV10" s="8">
        <v>123</v>
      </c>
      <c r="AW10" s="8">
        <v>123</v>
      </c>
      <c r="AX10" s="8">
        <v>122</v>
      </c>
      <c r="AY10" s="8">
        <v>123</v>
      </c>
      <c r="AZ10" s="8">
        <v>122</v>
      </c>
      <c r="BA10" s="8">
        <v>119</v>
      </c>
      <c r="BB10" s="8">
        <v>119</v>
      </c>
      <c r="BC10" s="8">
        <v>121</v>
      </c>
      <c r="BD10" s="8">
        <v>121</v>
      </c>
      <c r="BE10" s="8">
        <v>118</v>
      </c>
      <c r="BF10" s="8">
        <v>120</v>
      </c>
      <c r="BG10" s="8">
        <v>120</v>
      </c>
      <c r="BH10" s="8">
        <v>120</v>
      </c>
    </row>
    <row r="11" spans="1:60" x14ac:dyDescent="0.2">
      <c r="A11" s="7" t="s">
        <v>74</v>
      </c>
      <c r="B11" s="8"/>
      <c r="C11" s="8"/>
      <c r="D11" s="8"/>
      <c r="E11" s="8"/>
      <c r="F11" s="8"/>
      <c r="G11" s="8"/>
      <c r="H11" s="8"/>
      <c r="I11" s="8"/>
      <c r="J11" s="8"/>
      <c r="K11" s="8"/>
      <c r="L11" s="8"/>
      <c r="M11" s="8"/>
      <c r="N11" s="8"/>
      <c r="O11" s="8"/>
      <c r="P11" s="8"/>
      <c r="Q11" s="8"/>
      <c r="R11" s="8"/>
      <c r="S11" s="8"/>
      <c r="T11" s="8"/>
      <c r="U11" s="8"/>
      <c r="V11" s="8"/>
      <c r="W11" s="8"/>
      <c r="X11" s="8"/>
      <c r="Y11" s="8"/>
      <c r="Z11" s="8"/>
      <c r="AA11" s="8"/>
      <c r="AB11" s="8">
        <v>64</v>
      </c>
      <c r="AC11" s="8">
        <v>64</v>
      </c>
      <c r="AD11" s="8">
        <v>64</v>
      </c>
      <c r="AE11" s="8">
        <v>64</v>
      </c>
      <c r="AF11" s="8">
        <v>67</v>
      </c>
      <c r="AG11" s="8">
        <v>66</v>
      </c>
      <c r="AH11" s="8">
        <v>70</v>
      </c>
      <c r="AI11" s="8">
        <v>68</v>
      </c>
      <c r="AJ11" s="8">
        <v>67</v>
      </c>
      <c r="AK11" s="8">
        <v>68</v>
      </c>
      <c r="AL11" s="8">
        <v>67</v>
      </c>
      <c r="AM11" s="8">
        <v>67</v>
      </c>
      <c r="AN11" s="8">
        <v>64</v>
      </c>
      <c r="AO11" s="8">
        <v>67</v>
      </c>
      <c r="AP11" s="8">
        <v>68</v>
      </c>
      <c r="AQ11" s="8">
        <v>67</v>
      </c>
      <c r="AR11" s="8">
        <v>70</v>
      </c>
      <c r="AS11" s="8">
        <v>67</v>
      </c>
      <c r="AT11" s="8">
        <v>68</v>
      </c>
      <c r="AU11" s="8">
        <v>69</v>
      </c>
      <c r="AV11" s="8">
        <v>69</v>
      </c>
      <c r="AW11" s="8">
        <v>69</v>
      </c>
      <c r="AX11" s="8">
        <v>67</v>
      </c>
      <c r="AY11" s="8">
        <v>68</v>
      </c>
      <c r="AZ11" s="8">
        <v>68</v>
      </c>
      <c r="BA11" s="8">
        <v>68</v>
      </c>
      <c r="BB11" s="8">
        <v>69</v>
      </c>
      <c r="BC11" s="8">
        <v>70</v>
      </c>
      <c r="BD11" s="8">
        <v>70</v>
      </c>
      <c r="BE11" s="8">
        <v>73</v>
      </c>
      <c r="BF11" s="8">
        <v>73</v>
      </c>
      <c r="BG11" s="8">
        <v>74</v>
      </c>
      <c r="BH11" s="8">
        <v>73</v>
      </c>
    </row>
    <row r="12" spans="1:60" x14ac:dyDescent="0.2">
      <c r="A12" s="7" t="s">
        <v>5</v>
      </c>
      <c r="B12" s="8"/>
      <c r="C12" s="8"/>
      <c r="D12" s="8"/>
      <c r="E12" s="8"/>
      <c r="F12" s="8"/>
      <c r="G12" s="8"/>
      <c r="H12" s="8"/>
      <c r="I12" s="8"/>
      <c r="J12" s="8"/>
      <c r="K12" s="8"/>
      <c r="L12" s="8"/>
      <c r="M12" s="8"/>
      <c r="N12" s="8"/>
      <c r="O12" s="8"/>
      <c r="P12" s="8"/>
      <c r="Q12" s="8"/>
      <c r="R12" s="8"/>
      <c r="S12" s="8"/>
      <c r="T12" s="8"/>
      <c r="U12" s="8"/>
      <c r="V12" s="8"/>
      <c r="W12" s="8"/>
      <c r="X12" s="8"/>
      <c r="Y12" s="8"/>
      <c r="Z12" s="8"/>
      <c r="AA12" s="8"/>
      <c r="AB12" s="8">
        <v>21</v>
      </c>
      <c r="AC12" s="8">
        <v>20</v>
      </c>
      <c r="AD12" s="8">
        <v>20</v>
      </c>
      <c r="AE12" s="8">
        <v>22</v>
      </c>
      <c r="AF12" s="8">
        <v>23</v>
      </c>
      <c r="AG12" s="8">
        <v>25</v>
      </c>
      <c r="AH12" s="8">
        <v>24</v>
      </c>
      <c r="AI12" s="8">
        <v>25</v>
      </c>
      <c r="AJ12" s="8">
        <v>23</v>
      </c>
      <c r="AK12" s="8">
        <v>22</v>
      </c>
      <c r="AL12" s="8">
        <v>22</v>
      </c>
      <c r="AM12" s="8">
        <v>22</v>
      </c>
      <c r="AN12" s="8">
        <v>22</v>
      </c>
      <c r="AO12" s="8">
        <v>19</v>
      </c>
      <c r="AP12" s="8">
        <v>19</v>
      </c>
      <c r="AQ12" s="8">
        <v>20</v>
      </c>
      <c r="AR12" s="8">
        <v>20</v>
      </c>
      <c r="AS12" s="8">
        <v>21</v>
      </c>
      <c r="AT12" s="8">
        <v>21</v>
      </c>
      <c r="AU12" s="8">
        <v>21</v>
      </c>
      <c r="AV12" s="8">
        <v>19</v>
      </c>
      <c r="AW12" s="8">
        <v>18</v>
      </c>
      <c r="AX12" s="8">
        <v>20</v>
      </c>
      <c r="AY12" s="8">
        <v>21</v>
      </c>
      <c r="AZ12" s="8">
        <v>22</v>
      </c>
      <c r="BA12" s="8">
        <v>21</v>
      </c>
      <c r="BB12" s="8">
        <v>19</v>
      </c>
      <c r="BC12" s="8">
        <v>20</v>
      </c>
      <c r="BD12" s="8">
        <v>17</v>
      </c>
      <c r="BE12" s="8">
        <v>18</v>
      </c>
      <c r="BF12" s="8">
        <v>19</v>
      </c>
      <c r="BG12" s="8">
        <v>20</v>
      </c>
      <c r="BH12" s="8">
        <v>19</v>
      </c>
    </row>
    <row r="13" spans="1:60" x14ac:dyDescent="0.2">
      <c r="A13" s="7" t="s">
        <v>77</v>
      </c>
      <c r="B13" s="8"/>
      <c r="C13" s="8"/>
      <c r="D13" s="8"/>
      <c r="E13" s="8"/>
      <c r="F13" s="8"/>
      <c r="G13" s="8"/>
      <c r="H13" s="8"/>
      <c r="I13" s="8"/>
      <c r="J13" s="8"/>
      <c r="K13" s="8"/>
      <c r="L13" s="8"/>
      <c r="M13" s="8"/>
      <c r="N13" s="8"/>
      <c r="O13" s="8"/>
      <c r="P13" s="8"/>
      <c r="Q13" s="8"/>
      <c r="R13" s="8"/>
      <c r="S13" s="8"/>
      <c r="T13" s="8"/>
      <c r="U13" s="8"/>
      <c r="V13" s="8"/>
      <c r="W13" s="8"/>
      <c r="X13" s="8"/>
      <c r="Y13" s="8"/>
      <c r="Z13" s="8"/>
      <c r="AA13" s="8"/>
      <c r="AB13" s="8">
        <v>140</v>
      </c>
      <c r="AC13" s="8">
        <v>130</v>
      </c>
      <c r="AD13" s="8">
        <v>131</v>
      </c>
      <c r="AE13" s="8">
        <v>132</v>
      </c>
      <c r="AF13" s="8">
        <v>134</v>
      </c>
      <c r="AG13" s="8">
        <v>134</v>
      </c>
      <c r="AH13" s="8">
        <v>131</v>
      </c>
      <c r="AI13" s="8">
        <v>133</v>
      </c>
      <c r="AJ13" s="8">
        <v>130</v>
      </c>
      <c r="AK13" s="8">
        <v>127</v>
      </c>
      <c r="AL13" s="8">
        <v>124</v>
      </c>
      <c r="AM13" s="8">
        <v>125</v>
      </c>
      <c r="AN13" s="8">
        <v>121</v>
      </c>
      <c r="AO13" s="8">
        <v>119</v>
      </c>
      <c r="AP13" s="8">
        <v>117</v>
      </c>
      <c r="AQ13" s="8">
        <v>117</v>
      </c>
      <c r="AR13" s="8">
        <v>117</v>
      </c>
      <c r="AS13" s="8">
        <v>118</v>
      </c>
      <c r="AT13" s="8">
        <v>118</v>
      </c>
      <c r="AU13" s="8">
        <v>118</v>
      </c>
      <c r="AV13" s="8">
        <v>118</v>
      </c>
      <c r="AW13" s="8">
        <v>119</v>
      </c>
      <c r="AX13" s="8">
        <v>121</v>
      </c>
      <c r="AY13" s="8">
        <v>122</v>
      </c>
      <c r="AZ13" s="8">
        <v>122</v>
      </c>
      <c r="BA13" s="8">
        <v>121</v>
      </c>
      <c r="BB13" s="8">
        <v>120</v>
      </c>
      <c r="BC13" s="8">
        <v>119</v>
      </c>
      <c r="BD13" s="8">
        <v>121</v>
      </c>
      <c r="BE13" s="8">
        <v>122</v>
      </c>
      <c r="BF13" s="8">
        <v>127</v>
      </c>
      <c r="BG13" s="8">
        <v>126</v>
      </c>
      <c r="BH13" s="8">
        <v>124</v>
      </c>
    </row>
    <row r="14" spans="1:60" x14ac:dyDescent="0.2">
      <c r="A14" s="7" t="s">
        <v>78</v>
      </c>
      <c r="B14" s="8"/>
      <c r="C14" s="8"/>
      <c r="D14" s="8"/>
      <c r="E14" s="8"/>
      <c r="F14" s="8"/>
      <c r="G14" s="8"/>
      <c r="H14" s="8"/>
      <c r="I14" s="8"/>
      <c r="J14" s="8"/>
      <c r="K14" s="8"/>
      <c r="L14" s="8"/>
      <c r="M14" s="8"/>
      <c r="N14" s="8"/>
      <c r="O14" s="8"/>
      <c r="P14" s="8"/>
      <c r="Q14" s="8"/>
      <c r="R14" s="8"/>
      <c r="S14" s="8"/>
      <c r="T14" s="8"/>
      <c r="U14" s="8"/>
      <c r="V14" s="8"/>
      <c r="W14" s="8"/>
      <c r="X14" s="8"/>
      <c r="Y14" s="8"/>
      <c r="Z14" s="8"/>
      <c r="AA14" s="8"/>
      <c r="AB14" s="8">
        <v>130</v>
      </c>
      <c r="AC14" s="8">
        <v>128</v>
      </c>
      <c r="AD14" s="8">
        <v>131</v>
      </c>
      <c r="AE14" s="8">
        <v>131</v>
      </c>
      <c r="AF14" s="8">
        <v>135</v>
      </c>
      <c r="AG14" s="8">
        <v>133</v>
      </c>
      <c r="AH14" s="8">
        <v>136</v>
      </c>
      <c r="AI14" s="8">
        <v>133</v>
      </c>
      <c r="AJ14" s="8">
        <v>132</v>
      </c>
      <c r="AK14" s="8">
        <v>128</v>
      </c>
      <c r="AL14" s="8">
        <v>129</v>
      </c>
      <c r="AM14" s="8">
        <v>126</v>
      </c>
      <c r="AN14" s="8">
        <v>122</v>
      </c>
      <c r="AO14" s="8">
        <v>119</v>
      </c>
      <c r="AP14" s="8">
        <v>117</v>
      </c>
      <c r="AQ14" s="8">
        <v>114</v>
      </c>
      <c r="AR14" s="8">
        <v>114</v>
      </c>
      <c r="AS14" s="8">
        <v>114</v>
      </c>
      <c r="AT14" s="8">
        <v>110</v>
      </c>
      <c r="AU14" s="8">
        <v>111</v>
      </c>
      <c r="AV14" s="8">
        <v>111</v>
      </c>
      <c r="AW14" s="8">
        <v>113</v>
      </c>
      <c r="AX14" s="8">
        <v>113</v>
      </c>
      <c r="AY14" s="8">
        <v>116</v>
      </c>
      <c r="AZ14" s="8">
        <v>117</v>
      </c>
      <c r="BA14" s="8">
        <v>119</v>
      </c>
      <c r="BB14" s="8">
        <v>118</v>
      </c>
      <c r="BC14" s="8">
        <v>119</v>
      </c>
      <c r="BD14" s="8">
        <v>120</v>
      </c>
      <c r="BE14" s="8">
        <v>120</v>
      </c>
      <c r="BF14" s="8">
        <v>121</v>
      </c>
      <c r="BG14" s="8">
        <v>122</v>
      </c>
      <c r="BH14" s="8">
        <v>120</v>
      </c>
    </row>
    <row r="15" spans="1:60" x14ac:dyDescent="0.2">
      <c r="A15" s="7" t="s">
        <v>2</v>
      </c>
      <c r="B15" s="8"/>
      <c r="C15" s="8"/>
      <c r="D15" s="8"/>
      <c r="E15" s="8"/>
      <c r="F15" s="8"/>
      <c r="G15" s="8"/>
      <c r="H15" s="8"/>
      <c r="I15" s="8"/>
      <c r="J15" s="8"/>
      <c r="K15" s="8"/>
      <c r="L15" s="8"/>
      <c r="M15" s="8"/>
      <c r="N15" s="8"/>
      <c r="O15" s="8"/>
      <c r="P15" s="8"/>
      <c r="Q15" s="8"/>
      <c r="R15" s="8"/>
      <c r="S15" s="8"/>
      <c r="T15" s="8"/>
      <c r="U15" s="8"/>
      <c r="V15" s="8"/>
      <c r="W15" s="8"/>
      <c r="X15" s="8"/>
      <c r="Y15" s="8"/>
      <c r="Z15" s="8"/>
      <c r="AA15" s="8"/>
      <c r="AB15" s="8">
        <v>314</v>
      </c>
      <c r="AC15" s="8">
        <v>316</v>
      </c>
      <c r="AD15" s="8">
        <v>311</v>
      </c>
      <c r="AE15" s="8">
        <v>313</v>
      </c>
      <c r="AF15" s="8">
        <v>315</v>
      </c>
      <c r="AG15" s="8">
        <v>313</v>
      </c>
      <c r="AH15" s="8">
        <v>316</v>
      </c>
      <c r="AI15" s="8">
        <v>315</v>
      </c>
      <c r="AJ15" s="8">
        <v>313</v>
      </c>
      <c r="AK15" s="8">
        <v>318</v>
      </c>
      <c r="AL15" s="8">
        <v>320</v>
      </c>
      <c r="AM15" s="8">
        <v>318</v>
      </c>
      <c r="AN15" s="8">
        <v>315</v>
      </c>
      <c r="AO15" s="8">
        <v>311</v>
      </c>
      <c r="AP15" s="8">
        <v>307</v>
      </c>
      <c r="AQ15" s="8">
        <v>304</v>
      </c>
      <c r="AR15" s="8">
        <v>307</v>
      </c>
      <c r="AS15" s="8">
        <v>305</v>
      </c>
      <c r="AT15" s="8">
        <v>304</v>
      </c>
      <c r="AU15" s="8">
        <v>304</v>
      </c>
      <c r="AV15" s="8">
        <v>309</v>
      </c>
      <c r="AW15" s="8">
        <v>310</v>
      </c>
      <c r="AX15" s="8">
        <v>308</v>
      </c>
      <c r="AY15" s="8">
        <v>307</v>
      </c>
      <c r="AZ15" s="8">
        <v>311</v>
      </c>
      <c r="BA15" s="8">
        <v>311</v>
      </c>
      <c r="BB15" s="8">
        <v>311</v>
      </c>
      <c r="BC15" s="8">
        <v>312</v>
      </c>
      <c r="BD15" s="8">
        <v>310</v>
      </c>
      <c r="BE15" s="8">
        <v>304</v>
      </c>
      <c r="BF15" s="8">
        <v>311</v>
      </c>
      <c r="BG15" s="8">
        <v>312</v>
      </c>
      <c r="BH15" s="8">
        <v>314</v>
      </c>
    </row>
    <row r="16" spans="1:60" x14ac:dyDescent="0.2">
      <c r="A16" s="7" t="s">
        <v>75</v>
      </c>
      <c r="B16" s="8"/>
      <c r="C16" s="8"/>
      <c r="D16" s="8"/>
      <c r="E16" s="8"/>
      <c r="F16" s="8"/>
      <c r="G16" s="8"/>
      <c r="H16" s="8"/>
      <c r="I16" s="8"/>
      <c r="J16" s="8"/>
      <c r="K16" s="8"/>
      <c r="L16" s="8"/>
      <c r="M16" s="8"/>
      <c r="N16" s="8"/>
      <c r="O16" s="8"/>
      <c r="P16" s="8"/>
      <c r="Q16" s="8"/>
      <c r="R16" s="8"/>
      <c r="S16" s="8"/>
      <c r="T16" s="8"/>
      <c r="U16" s="8"/>
      <c r="V16" s="8"/>
      <c r="W16" s="8"/>
      <c r="X16" s="8"/>
      <c r="Y16" s="8"/>
      <c r="Z16" s="8"/>
      <c r="AA16" s="8"/>
      <c r="AB16" s="8">
        <v>108</v>
      </c>
      <c r="AC16" s="8">
        <v>106</v>
      </c>
      <c r="AD16" s="8">
        <v>105</v>
      </c>
      <c r="AE16" s="8">
        <v>103</v>
      </c>
      <c r="AF16" s="8">
        <v>104</v>
      </c>
      <c r="AG16" s="8">
        <v>105</v>
      </c>
      <c r="AH16" s="8">
        <v>107</v>
      </c>
      <c r="AI16" s="8">
        <v>110</v>
      </c>
      <c r="AJ16" s="8">
        <v>112</v>
      </c>
      <c r="AK16" s="8">
        <v>107</v>
      </c>
      <c r="AL16" s="8">
        <v>106</v>
      </c>
      <c r="AM16" s="8">
        <v>107</v>
      </c>
      <c r="AN16" s="8">
        <v>107</v>
      </c>
      <c r="AO16" s="8">
        <v>105</v>
      </c>
      <c r="AP16" s="8">
        <v>105</v>
      </c>
      <c r="AQ16" s="8">
        <v>104</v>
      </c>
      <c r="AR16" s="8">
        <v>105</v>
      </c>
      <c r="AS16" s="8">
        <v>109</v>
      </c>
      <c r="AT16" s="8">
        <v>105</v>
      </c>
      <c r="AU16" s="8">
        <v>105</v>
      </c>
      <c r="AV16" s="8">
        <v>106</v>
      </c>
      <c r="AW16" s="8">
        <v>103</v>
      </c>
      <c r="AX16" s="8">
        <v>103</v>
      </c>
      <c r="AY16" s="8">
        <v>102</v>
      </c>
      <c r="AZ16" s="8">
        <v>102</v>
      </c>
      <c r="BA16" s="8">
        <v>102</v>
      </c>
      <c r="BB16" s="8">
        <v>103</v>
      </c>
      <c r="BC16" s="8">
        <v>103</v>
      </c>
      <c r="BD16" s="8">
        <v>104</v>
      </c>
      <c r="BE16" s="8">
        <v>103</v>
      </c>
      <c r="BF16" s="8">
        <v>104</v>
      </c>
      <c r="BG16" s="8">
        <v>104</v>
      </c>
      <c r="BH16" s="8">
        <v>103</v>
      </c>
    </row>
    <row r="17" spans="1:60" x14ac:dyDescent="0.2">
      <c r="A17" s="7" t="s">
        <v>79</v>
      </c>
      <c r="B17" s="8"/>
      <c r="C17" s="8"/>
      <c r="D17" s="8"/>
      <c r="E17" s="8"/>
      <c r="F17" s="8"/>
      <c r="G17" s="8"/>
      <c r="H17" s="8"/>
      <c r="I17" s="8"/>
      <c r="J17" s="8"/>
      <c r="K17" s="8"/>
      <c r="L17" s="8"/>
      <c r="M17" s="8"/>
      <c r="N17" s="8"/>
      <c r="O17" s="8"/>
      <c r="P17" s="8"/>
      <c r="Q17" s="8"/>
      <c r="R17" s="8"/>
      <c r="S17" s="8"/>
      <c r="T17" s="8"/>
      <c r="U17" s="8"/>
      <c r="V17" s="8"/>
      <c r="W17" s="8"/>
      <c r="X17" s="8"/>
      <c r="Y17" s="8"/>
      <c r="Z17" s="8"/>
      <c r="AA17" s="8"/>
      <c r="AB17" s="8">
        <v>250</v>
      </c>
      <c r="AC17" s="8">
        <v>240</v>
      </c>
      <c r="AD17" s="8">
        <v>238</v>
      </c>
      <c r="AE17" s="8">
        <v>236</v>
      </c>
      <c r="AF17" s="8">
        <v>238</v>
      </c>
      <c r="AG17" s="8">
        <v>235</v>
      </c>
      <c r="AH17" s="8">
        <v>238</v>
      </c>
      <c r="AI17" s="8">
        <v>242</v>
      </c>
      <c r="AJ17" s="8">
        <v>244</v>
      </c>
      <c r="AK17" s="8">
        <v>242</v>
      </c>
      <c r="AL17" s="8">
        <v>242</v>
      </c>
      <c r="AM17" s="8">
        <v>242</v>
      </c>
      <c r="AN17" s="8">
        <v>239</v>
      </c>
      <c r="AO17" s="8">
        <v>239</v>
      </c>
      <c r="AP17" s="8">
        <v>236</v>
      </c>
      <c r="AQ17" s="8">
        <v>236</v>
      </c>
      <c r="AR17" s="8">
        <v>232</v>
      </c>
      <c r="AS17" s="8">
        <v>232</v>
      </c>
      <c r="AT17" s="8">
        <v>232</v>
      </c>
      <c r="AU17" s="8">
        <v>225</v>
      </c>
      <c r="AV17" s="8">
        <v>225</v>
      </c>
      <c r="AW17" s="8">
        <v>221</v>
      </c>
      <c r="AX17" s="8">
        <v>223</v>
      </c>
      <c r="AY17" s="8">
        <v>226</v>
      </c>
      <c r="AZ17" s="8">
        <v>232</v>
      </c>
      <c r="BA17" s="8">
        <v>233</v>
      </c>
      <c r="BB17" s="8">
        <v>229</v>
      </c>
      <c r="BC17" s="8">
        <v>229</v>
      </c>
      <c r="BD17" s="8">
        <v>229</v>
      </c>
      <c r="BE17" s="8">
        <v>228</v>
      </c>
      <c r="BF17" s="8">
        <v>230</v>
      </c>
      <c r="BG17" s="8">
        <v>229</v>
      </c>
      <c r="BH17" s="8">
        <v>230</v>
      </c>
    </row>
    <row r="18" spans="1:60" x14ac:dyDescent="0.2">
      <c r="A18" s="7" t="s">
        <v>80</v>
      </c>
      <c r="B18" s="8"/>
      <c r="C18" s="8"/>
      <c r="D18" s="8"/>
      <c r="E18" s="8"/>
      <c r="F18" s="8"/>
      <c r="G18" s="8"/>
      <c r="H18" s="8"/>
      <c r="I18" s="8"/>
      <c r="J18" s="8"/>
      <c r="K18" s="8"/>
      <c r="L18" s="8"/>
      <c r="M18" s="8"/>
      <c r="N18" s="8"/>
      <c r="O18" s="8"/>
      <c r="P18" s="8"/>
      <c r="Q18" s="8"/>
      <c r="R18" s="8"/>
      <c r="S18" s="8"/>
      <c r="T18" s="8"/>
      <c r="U18" s="8"/>
      <c r="V18" s="8"/>
      <c r="W18" s="8"/>
      <c r="X18" s="8"/>
      <c r="Y18" s="8"/>
      <c r="Z18" s="8"/>
      <c r="AA18" s="8"/>
      <c r="AB18" s="8">
        <v>212</v>
      </c>
      <c r="AC18" s="8">
        <v>211</v>
      </c>
      <c r="AD18" s="8">
        <v>218</v>
      </c>
      <c r="AE18" s="8">
        <v>217</v>
      </c>
      <c r="AF18" s="8">
        <v>216</v>
      </c>
      <c r="AG18" s="8">
        <v>220</v>
      </c>
      <c r="AH18" s="8">
        <v>215</v>
      </c>
      <c r="AI18" s="8">
        <v>222</v>
      </c>
      <c r="AJ18" s="8">
        <v>220</v>
      </c>
      <c r="AK18" s="8">
        <v>223</v>
      </c>
      <c r="AL18" s="8">
        <v>222</v>
      </c>
      <c r="AM18" s="8">
        <v>222</v>
      </c>
      <c r="AN18" s="8">
        <v>216</v>
      </c>
      <c r="AO18" s="8">
        <v>215</v>
      </c>
      <c r="AP18" s="8">
        <v>216</v>
      </c>
      <c r="AQ18" s="8">
        <v>217</v>
      </c>
      <c r="AR18" s="8">
        <v>216</v>
      </c>
      <c r="AS18" s="8">
        <v>214</v>
      </c>
      <c r="AT18" s="8">
        <v>213</v>
      </c>
      <c r="AU18" s="8">
        <v>212</v>
      </c>
      <c r="AV18" s="8">
        <v>215</v>
      </c>
      <c r="AW18" s="8">
        <v>214</v>
      </c>
      <c r="AX18" s="8">
        <v>210</v>
      </c>
      <c r="AY18" s="8">
        <v>209</v>
      </c>
      <c r="AZ18" s="8">
        <v>209</v>
      </c>
      <c r="BA18" s="8">
        <v>212</v>
      </c>
      <c r="BB18" s="8">
        <v>213</v>
      </c>
      <c r="BC18" s="8">
        <v>216</v>
      </c>
      <c r="BD18" s="8">
        <v>216</v>
      </c>
      <c r="BE18" s="8">
        <v>215</v>
      </c>
      <c r="BF18" s="8">
        <v>218</v>
      </c>
      <c r="BG18" s="8">
        <v>218</v>
      </c>
      <c r="BH18" s="8">
        <v>217</v>
      </c>
    </row>
    <row r="19" spans="1:60" x14ac:dyDescent="0.2">
      <c r="A19" s="7" t="s">
        <v>3</v>
      </c>
      <c r="B19" s="8"/>
      <c r="C19" s="8"/>
      <c r="D19" s="8"/>
      <c r="E19" s="8"/>
      <c r="F19" s="8"/>
      <c r="G19" s="8"/>
      <c r="H19" s="8"/>
      <c r="I19" s="8"/>
      <c r="J19" s="8"/>
      <c r="K19" s="8"/>
      <c r="L19" s="8"/>
      <c r="M19" s="8"/>
      <c r="N19" s="8"/>
      <c r="O19" s="8"/>
      <c r="P19" s="8"/>
      <c r="Q19" s="8"/>
      <c r="R19" s="8"/>
      <c r="S19" s="8"/>
      <c r="T19" s="8"/>
      <c r="U19" s="8"/>
      <c r="V19" s="8"/>
      <c r="W19" s="8"/>
      <c r="X19" s="8"/>
      <c r="Y19" s="8"/>
      <c r="Z19" s="8"/>
      <c r="AA19" s="8"/>
      <c r="AB19" s="8">
        <v>136</v>
      </c>
      <c r="AC19" s="8">
        <v>134</v>
      </c>
      <c r="AD19" s="8">
        <v>134</v>
      </c>
      <c r="AE19" s="8">
        <v>134</v>
      </c>
      <c r="AF19" s="8">
        <v>138</v>
      </c>
      <c r="AG19" s="8">
        <v>139</v>
      </c>
      <c r="AH19" s="8">
        <v>136</v>
      </c>
      <c r="AI19" s="8">
        <v>135</v>
      </c>
      <c r="AJ19" s="8">
        <v>135</v>
      </c>
      <c r="AK19" s="8">
        <v>134</v>
      </c>
      <c r="AL19" s="8">
        <v>134</v>
      </c>
      <c r="AM19" s="8">
        <v>134</v>
      </c>
      <c r="AN19" s="8">
        <v>131</v>
      </c>
      <c r="AO19" s="8">
        <v>128</v>
      </c>
      <c r="AP19" s="8">
        <v>129</v>
      </c>
      <c r="AQ19" s="8">
        <v>128</v>
      </c>
      <c r="AR19" s="8">
        <v>128</v>
      </c>
      <c r="AS19" s="8">
        <v>129</v>
      </c>
      <c r="AT19" s="8">
        <v>128</v>
      </c>
      <c r="AU19" s="8">
        <v>128</v>
      </c>
      <c r="AV19" s="8">
        <v>127</v>
      </c>
      <c r="AW19" s="8">
        <v>126</v>
      </c>
      <c r="AX19" s="8">
        <v>126</v>
      </c>
      <c r="AY19" s="8">
        <v>127</v>
      </c>
      <c r="AZ19" s="8">
        <v>127</v>
      </c>
      <c r="BA19" s="8">
        <v>126</v>
      </c>
      <c r="BB19" s="8">
        <v>125</v>
      </c>
      <c r="BC19" s="8">
        <v>126</v>
      </c>
      <c r="BD19" s="8">
        <v>125</v>
      </c>
      <c r="BE19" s="8">
        <v>124</v>
      </c>
      <c r="BF19" s="8">
        <v>124</v>
      </c>
      <c r="BG19" s="8">
        <v>124</v>
      </c>
      <c r="BH19" s="8">
        <v>125</v>
      </c>
    </row>
    <row r="20" spans="1:60" x14ac:dyDescent="0.2">
      <c r="A20" s="7" t="s">
        <v>4</v>
      </c>
      <c r="B20" s="8"/>
      <c r="C20" s="8"/>
      <c r="D20" s="8"/>
      <c r="E20" s="8"/>
      <c r="F20" s="8"/>
      <c r="G20" s="8"/>
      <c r="H20" s="8"/>
      <c r="I20" s="8"/>
      <c r="J20" s="8"/>
      <c r="K20" s="8"/>
      <c r="L20" s="8"/>
      <c r="M20" s="8"/>
      <c r="N20" s="8"/>
      <c r="O20" s="8"/>
      <c r="P20" s="8"/>
      <c r="Q20" s="8"/>
      <c r="R20" s="8"/>
      <c r="S20" s="8"/>
      <c r="T20" s="8"/>
      <c r="U20" s="8"/>
      <c r="V20" s="8"/>
      <c r="W20" s="8"/>
      <c r="X20" s="8"/>
      <c r="Y20" s="8"/>
      <c r="Z20" s="8"/>
      <c r="AA20" s="8"/>
      <c r="AB20" s="8">
        <v>180</v>
      </c>
      <c r="AC20" s="8">
        <v>185</v>
      </c>
      <c r="AD20" s="8">
        <v>179</v>
      </c>
      <c r="AE20" s="8">
        <v>183</v>
      </c>
      <c r="AF20" s="8">
        <v>188</v>
      </c>
      <c r="AG20" s="8">
        <v>189</v>
      </c>
      <c r="AH20" s="8">
        <v>190</v>
      </c>
      <c r="AI20" s="8">
        <v>189</v>
      </c>
      <c r="AJ20" s="8">
        <v>189</v>
      </c>
      <c r="AK20" s="8">
        <v>191</v>
      </c>
      <c r="AL20" s="8">
        <v>191</v>
      </c>
      <c r="AM20" s="8">
        <v>189</v>
      </c>
      <c r="AN20" s="8">
        <v>191</v>
      </c>
      <c r="AO20" s="8">
        <v>188</v>
      </c>
      <c r="AP20" s="8">
        <v>187</v>
      </c>
      <c r="AQ20" s="8">
        <v>182</v>
      </c>
      <c r="AR20" s="8">
        <v>186</v>
      </c>
      <c r="AS20" s="8">
        <v>188</v>
      </c>
      <c r="AT20" s="8">
        <v>185</v>
      </c>
      <c r="AU20" s="8">
        <v>179</v>
      </c>
      <c r="AV20" s="8">
        <v>182</v>
      </c>
      <c r="AW20" s="8">
        <v>192</v>
      </c>
      <c r="AX20" s="8">
        <v>197</v>
      </c>
      <c r="AY20" s="8">
        <v>197</v>
      </c>
      <c r="AZ20" s="8">
        <v>197</v>
      </c>
      <c r="BA20" s="8">
        <v>197</v>
      </c>
      <c r="BB20" s="8">
        <v>198</v>
      </c>
      <c r="BC20" s="8">
        <v>196</v>
      </c>
      <c r="BD20" s="8">
        <v>194</v>
      </c>
      <c r="BE20" s="8">
        <v>195</v>
      </c>
      <c r="BF20" s="8">
        <v>199</v>
      </c>
      <c r="BG20" s="8">
        <v>196</v>
      </c>
      <c r="BH20" s="8">
        <v>197</v>
      </c>
    </row>
    <row r="21" spans="1:60" s="2" customFormat="1" x14ac:dyDescent="0.2">
      <c r="A21" s="9" t="s">
        <v>0</v>
      </c>
      <c r="B21" s="10">
        <f t="shared" ref="B21:AA21" si="0">SUM(B8:B20)</f>
        <v>0</v>
      </c>
      <c r="C21" s="10">
        <f t="shared" si="0"/>
        <v>0</v>
      </c>
      <c r="D21" s="10">
        <f t="shared" si="0"/>
        <v>0</v>
      </c>
      <c r="E21" s="10">
        <f t="shared" si="0"/>
        <v>0</v>
      </c>
      <c r="F21" s="10">
        <f t="shared" si="0"/>
        <v>0</v>
      </c>
      <c r="G21" s="10">
        <f t="shared" si="0"/>
        <v>0</v>
      </c>
      <c r="H21" s="10">
        <f t="shared" si="0"/>
        <v>0</v>
      </c>
      <c r="I21" s="10">
        <f t="shared" si="0"/>
        <v>0</v>
      </c>
      <c r="J21" s="10">
        <f t="shared" si="0"/>
        <v>0</v>
      </c>
      <c r="K21" s="10">
        <f t="shared" si="0"/>
        <v>0</v>
      </c>
      <c r="L21" s="10">
        <f t="shared" si="0"/>
        <v>0</v>
      </c>
      <c r="M21" s="10">
        <f t="shared" si="0"/>
        <v>0</v>
      </c>
      <c r="N21" s="10">
        <f t="shared" si="0"/>
        <v>0</v>
      </c>
      <c r="O21" s="10">
        <f t="shared" si="0"/>
        <v>0</v>
      </c>
      <c r="P21" s="10">
        <f t="shared" si="0"/>
        <v>0</v>
      </c>
      <c r="Q21" s="10">
        <f t="shared" si="0"/>
        <v>0</v>
      </c>
      <c r="R21" s="10">
        <f t="shared" si="0"/>
        <v>0</v>
      </c>
      <c r="S21" s="10">
        <f t="shared" si="0"/>
        <v>0</v>
      </c>
      <c r="T21" s="10">
        <f t="shared" si="0"/>
        <v>0</v>
      </c>
      <c r="U21" s="10">
        <f t="shared" si="0"/>
        <v>0</v>
      </c>
      <c r="V21" s="10">
        <f t="shared" si="0"/>
        <v>0</v>
      </c>
      <c r="W21" s="10">
        <f t="shared" si="0"/>
        <v>0</v>
      </c>
      <c r="X21" s="10">
        <f t="shared" si="0"/>
        <v>0</v>
      </c>
      <c r="Y21" s="10">
        <f t="shared" si="0"/>
        <v>0</v>
      </c>
      <c r="Z21" s="10">
        <f t="shared" si="0"/>
        <v>0</v>
      </c>
      <c r="AA21" s="10">
        <f t="shared" si="0"/>
        <v>0</v>
      </c>
      <c r="AB21" s="10">
        <v>2140</v>
      </c>
      <c r="AC21" s="10">
        <v>2110</v>
      </c>
      <c r="AD21" s="10">
        <v>2106</v>
      </c>
      <c r="AE21" s="10">
        <v>2119</v>
      </c>
      <c r="AF21" s="10">
        <v>2141</v>
      </c>
      <c r="AG21" s="10">
        <v>2142</v>
      </c>
      <c r="AH21" s="10">
        <v>2146</v>
      </c>
      <c r="AI21" s="10">
        <v>2173</v>
      </c>
      <c r="AJ21" s="10">
        <v>2160</v>
      </c>
      <c r="AK21" s="10">
        <v>2152</v>
      </c>
      <c r="AL21" s="10">
        <v>2143</v>
      </c>
      <c r="AM21" s="10">
        <v>2129</v>
      </c>
      <c r="AN21" s="10">
        <v>2101</v>
      </c>
      <c r="AO21" s="10">
        <v>2080</v>
      </c>
      <c r="AP21" s="10">
        <v>2066</v>
      </c>
      <c r="AQ21" s="10">
        <v>2056</v>
      </c>
      <c r="AR21" s="10">
        <v>2072</v>
      </c>
      <c r="AS21" s="10">
        <v>2073</v>
      </c>
      <c r="AT21" s="10">
        <v>2050</v>
      </c>
      <c r="AU21" s="10">
        <v>2034</v>
      </c>
      <c r="AV21" s="10">
        <v>2035</v>
      </c>
      <c r="AW21" s="10">
        <v>2027</v>
      </c>
      <c r="AX21" s="10">
        <v>2020</v>
      </c>
      <c r="AY21" s="10">
        <v>2033</v>
      </c>
      <c r="AZ21" s="10">
        <v>2044</v>
      </c>
      <c r="BA21" s="10">
        <v>2046</v>
      </c>
      <c r="BB21" s="10">
        <v>2040</v>
      </c>
      <c r="BC21" s="10">
        <v>2045</v>
      </c>
      <c r="BD21" s="10">
        <v>2041</v>
      </c>
      <c r="BE21" s="10">
        <v>2030</v>
      </c>
      <c r="BF21" s="10">
        <v>2061</v>
      </c>
      <c r="BG21" s="10">
        <v>2058</v>
      </c>
      <c r="BH21" s="10">
        <v>2053</v>
      </c>
    </row>
  </sheetData>
  <phoneticPr fontId="1" type="noConversion"/>
  <hyperlinks>
    <hyperlink ref="A2" location="Sommaire!A1" display="Retour au menu &quot;Exploitation des films&quot;" xr:uid="{00000000-0004-0000-0300-000000000000}"/>
  </hyperlinks>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BH21"/>
  <sheetViews>
    <sheetView zoomScale="90" zoomScaleNormal="90" workbookViewId="0">
      <pane xSplit="1" ySplit="7" topLeftCell="B8" activePane="bottomRight" state="frozen"/>
      <selection pane="topRight"/>
      <selection pane="bottomLeft"/>
      <selection pane="bottomRight" activeCell="B8" sqref="B8"/>
    </sheetView>
  </sheetViews>
  <sheetFormatPr baseColWidth="10" defaultColWidth="5.5703125" defaultRowHeight="12" x14ac:dyDescent="0.2"/>
  <cols>
    <col min="1" max="1" width="28.85546875" style="1" bestFit="1" customWidth="1"/>
    <col min="2" max="38" width="5.42578125" style="1" bestFit="1" customWidth="1"/>
    <col min="39" max="51" width="5.42578125" style="4" bestFit="1" customWidth="1"/>
    <col min="52" max="55" width="5.42578125" style="1" bestFit="1" customWidth="1"/>
    <col min="56"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row>
    <row r="3" spans="1:60" s="36" customFormat="1" ht="12.75" x14ac:dyDescent="0.2">
      <c r="AM3" s="37"/>
      <c r="AN3" s="37"/>
      <c r="AO3" s="37"/>
      <c r="AP3" s="37"/>
      <c r="AQ3" s="37"/>
      <c r="AR3" s="37"/>
      <c r="AS3" s="37"/>
      <c r="AT3" s="37"/>
      <c r="AU3" s="37"/>
      <c r="AV3" s="37"/>
      <c r="AW3" s="37"/>
      <c r="AX3" s="37"/>
      <c r="AY3" s="37"/>
      <c r="AZ3" s="37"/>
      <c r="BA3" s="37"/>
      <c r="BB3" s="37"/>
      <c r="BC3" s="37"/>
      <c r="BD3" s="37"/>
      <c r="BE3" s="37"/>
    </row>
    <row r="4" spans="1:60" s="36" customFormat="1" ht="12.75" x14ac:dyDescent="0.2">
      <c r="AM4" s="37"/>
      <c r="AN4" s="37"/>
      <c r="AO4" s="37"/>
      <c r="AP4" s="37"/>
      <c r="AQ4" s="37"/>
      <c r="AR4" s="37"/>
      <c r="AS4" s="37"/>
      <c r="AT4" s="37"/>
      <c r="AU4" s="37"/>
      <c r="AV4" s="37"/>
      <c r="AW4" s="37"/>
      <c r="AX4" s="37"/>
      <c r="AY4" s="37"/>
      <c r="AZ4" s="37"/>
      <c r="BA4" s="37"/>
      <c r="BB4" s="37"/>
      <c r="BC4" s="37"/>
      <c r="BD4" s="37"/>
      <c r="BE4" s="37"/>
    </row>
    <row r="5" spans="1:60" ht="12.75" x14ac:dyDescent="0.2">
      <c r="A5" s="3" t="s">
        <v>7</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5"/>
      <c r="B7" s="6">
        <v>1966</v>
      </c>
      <c r="C7" s="6">
        <v>1967</v>
      </c>
      <c r="D7" s="6">
        <v>1968</v>
      </c>
      <c r="E7" s="6">
        <v>1969</v>
      </c>
      <c r="F7" s="6">
        <v>1970</v>
      </c>
      <c r="G7" s="6">
        <v>1971</v>
      </c>
      <c r="H7" s="6">
        <v>1972</v>
      </c>
      <c r="I7" s="6">
        <v>1973</v>
      </c>
      <c r="J7" s="6">
        <v>1974</v>
      </c>
      <c r="K7" s="6">
        <v>1975</v>
      </c>
      <c r="L7" s="6">
        <v>1976</v>
      </c>
      <c r="M7" s="6">
        <v>1977</v>
      </c>
      <c r="N7" s="6">
        <v>1978</v>
      </c>
      <c r="O7" s="6">
        <v>1979</v>
      </c>
      <c r="P7" s="6">
        <v>1980</v>
      </c>
      <c r="Q7" s="6">
        <v>1981</v>
      </c>
      <c r="R7" s="6">
        <v>1982</v>
      </c>
      <c r="S7" s="6">
        <v>1983</v>
      </c>
      <c r="T7" s="6">
        <v>1984</v>
      </c>
      <c r="U7" s="6">
        <v>1985</v>
      </c>
      <c r="V7" s="6">
        <v>1986</v>
      </c>
      <c r="W7" s="6">
        <v>1987</v>
      </c>
      <c r="X7" s="6">
        <v>1988</v>
      </c>
      <c r="Y7" s="6">
        <v>1989</v>
      </c>
      <c r="Z7" s="6">
        <v>1990</v>
      </c>
      <c r="AA7" s="6">
        <v>1991</v>
      </c>
      <c r="AB7" s="6">
        <v>1992</v>
      </c>
      <c r="AC7" s="6">
        <v>1993</v>
      </c>
      <c r="AD7" s="6">
        <v>1994</v>
      </c>
      <c r="AE7" s="6">
        <v>1995</v>
      </c>
      <c r="AF7" s="6">
        <v>1996</v>
      </c>
      <c r="AG7" s="6">
        <v>1997</v>
      </c>
      <c r="AH7" s="6">
        <v>1998</v>
      </c>
      <c r="AI7" s="6">
        <v>1999</v>
      </c>
      <c r="AJ7" s="6">
        <v>2000</v>
      </c>
      <c r="AK7" s="6">
        <v>2001</v>
      </c>
      <c r="AL7" s="6">
        <v>2002</v>
      </c>
      <c r="AM7" s="6">
        <v>2003</v>
      </c>
      <c r="AN7" s="6">
        <v>2004</v>
      </c>
      <c r="AO7" s="6">
        <v>2005</v>
      </c>
      <c r="AP7" s="6">
        <v>2006</v>
      </c>
      <c r="AQ7" s="6">
        <v>2007</v>
      </c>
      <c r="AR7" s="6">
        <v>2008</v>
      </c>
      <c r="AS7" s="6">
        <v>2009</v>
      </c>
      <c r="AT7" s="6">
        <v>2010</v>
      </c>
      <c r="AU7" s="6">
        <v>2011</v>
      </c>
      <c r="AV7" s="6">
        <v>2012</v>
      </c>
      <c r="AW7" s="6">
        <v>2013</v>
      </c>
      <c r="AX7" s="6">
        <v>2014</v>
      </c>
      <c r="AY7" s="6">
        <v>2015</v>
      </c>
      <c r="AZ7" s="6">
        <v>2016</v>
      </c>
      <c r="BA7" s="6">
        <v>2017</v>
      </c>
      <c r="BB7" s="6">
        <v>2018</v>
      </c>
      <c r="BC7" s="6">
        <v>2019</v>
      </c>
      <c r="BD7" s="6">
        <v>2020</v>
      </c>
      <c r="BE7" s="6">
        <v>2021</v>
      </c>
      <c r="BF7" s="6">
        <v>2022</v>
      </c>
      <c r="BG7" s="6">
        <v>2023</v>
      </c>
      <c r="BH7" s="6">
        <v>2024</v>
      </c>
    </row>
    <row r="8" spans="1:60" x14ac:dyDescent="0.2">
      <c r="A8" s="7" t="s">
        <v>72</v>
      </c>
      <c r="B8" s="8">
        <v>586</v>
      </c>
      <c r="C8" s="8">
        <v>563</v>
      </c>
      <c r="D8" s="8">
        <v>543</v>
      </c>
      <c r="E8" s="8">
        <v>532</v>
      </c>
      <c r="F8" s="8">
        <v>506</v>
      </c>
      <c r="G8" s="8">
        <v>482</v>
      </c>
      <c r="H8" s="8">
        <v>472</v>
      </c>
      <c r="I8" s="8">
        <v>496</v>
      </c>
      <c r="J8" s="8">
        <v>498</v>
      </c>
      <c r="K8" s="8">
        <v>517</v>
      </c>
      <c r="L8" s="8">
        <v>540</v>
      </c>
      <c r="M8" s="8">
        <v>545</v>
      </c>
      <c r="N8" s="8">
        <v>547</v>
      </c>
      <c r="O8" s="8">
        <v>548</v>
      </c>
      <c r="P8" s="8">
        <v>573</v>
      </c>
      <c r="Q8" s="8">
        <v>624</v>
      </c>
      <c r="R8" s="8">
        <v>669</v>
      </c>
      <c r="S8" s="8">
        <v>693</v>
      </c>
      <c r="T8" s="8">
        <v>736</v>
      </c>
      <c r="U8" s="8">
        <v>742</v>
      </c>
      <c r="V8" s="8">
        <v>743</v>
      </c>
      <c r="W8" s="8">
        <v>728</v>
      </c>
      <c r="X8" s="8">
        <v>706</v>
      </c>
      <c r="Y8" s="8">
        <v>692</v>
      </c>
      <c r="Z8" s="8">
        <v>674</v>
      </c>
      <c r="AA8" s="8">
        <v>657</v>
      </c>
      <c r="AB8" s="8">
        <v>630</v>
      </c>
      <c r="AC8" s="8">
        <v>624</v>
      </c>
      <c r="AD8" s="8">
        <v>630</v>
      </c>
      <c r="AE8" s="8">
        <v>637</v>
      </c>
      <c r="AF8" s="8">
        <v>640</v>
      </c>
      <c r="AG8" s="8">
        <v>677</v>
      </c>
      <c r="AH8" s="8">
        <v>680</v>
      </c>
      <c r="AI8" s="8">
        <v>692</v>
      </c>
      <c r="AJ8" s="8">
        <v>733</v>
      </c>
      <c r="AK8" s="8">
        <v>750</v>
      </c>
      <c r="AL8" s="8">
        <v>758</v>
      </c>
      <c r="AM8" s="8">
        <v>758</v>
      </c>
      <c r="AN8" s="8">
        <v>742</v>
      </c>
      <c r="AO8" s="8">
        <v>728</v>
      </c>
      <c r="AP8" s="8">
        <v>746</v>
      </c>
      <c r="AQ8" s="8">
        <v>752</v>
      </c>
      <c r="AR8" s="8">
        <v>773</v>
      </c>
      <c r="AS8" s="8">
        <v>782</v>
      </c>
      <c r="AT8" s="8">
        <v>773</v>
      </c>
      <c r="AU8" s="8">
        <v>780</v>
      </c>
      <c r="AV8" s="8">
        <v>797</v>
      </c>
      <c r="AW8" s="8">
        <v>784</v>
      </c>
      <c r="AX8" s="8">
        <v>777</v>
      </c>
      <c r="AY8" s="8">
        <v>796</v>
      </c>
      <c r="AZ8" s="8">
        <v>802</v>
      </c>
      <c r="BA8" s="8">
        <v>827</v>
      </c>
      <c r="BB8" s="8">
        <v>833</v>
      </c>
      <c r="BC8" s="8">
        <v>830</v>
      </c>
      <c r="BD8" s="8">
        <v>831</v>
      </c>
      <c r="BE8" s="8">
        <v>840</v>
      </c>
      <c r="BF8" s="8">
        <v>852</v>
      </c>
      <c r="BG8" s="8">
        <v>864</v>
      </c>
      <c r="BH8" s="8">
        <v>860</v>
      </c>
    </row>
    <row r="9" spans="1:60" x14ac:dyDescent="0.2">
      <c r="A9" s="7" t="s">
        <v>73</v>
      </c>
      <c r="B9" s="8">
        <v>245</v>
      </c>
      <c r="C9" s="8">
        <v>235</v>
      </c>
      <c r="D9" s="8">
        <v>227</v>
      </c>
      <c r="E9" s="8">
        <v>217</v>
      </c>
      <c r="F9" s="8">
        <v>214</v>
      </c>
      <c r="G9" s="8">
        <v>208</v>
      </c>
      <c r="H9" s="8">
        <v>211</v>
      </c>
      <c r="I9" s="8">
        <v>205</v>
      </c>
      <c r="J9" s="8">
        <v>203</v>
      </c>
      <c r="K9" s="8">
        <v>205</v>
      </c>
      <c r="L9" s="8">
        <v>215</v>
      </c>
      <c r="M9" s="8">
        <v>208</v>
      </c>
      <c r="N9" s="8">
        <v>208</v>
      </c>
      <c r="O9" s="8">
        <v>206</v>
      </c>
      <c r="P9" s="8">
        <v>211</v>
      </c>
      <c r="Q9" s="8">
        <v>241</v>
      </c>
      <c r="R9" s="8">
        <v>250</v>
      </c>
      <c r="S9" s="8">
        <v>269</v>
      </c>
      <c r="T9" s="8">
        <v>284</v>
      </c>
      <c r="U9" s="8">
        <v>289</v>
      </c>
      <c r="V9" s="8">
        <v>281</v>
      </c>
      <c r="W9" s="8">
        <v>272</v>
      </c>
      <c r="X9" s="8">
        <v>255</v>
      </c>
      <c r="Y9" s="8">
        <v>247</v>
      </c>
      <c r="Z9" s="8">
        <v>240</v>
      </c>
      <c r="AA9" s="8">
        <v>230</v>
      </c>
      <c r="AB9" s="8">
        <v>219</v>
      </c>
      <c r="AC9" s="8">
        <v>218</v>
      </c>
      <c r="AD9" s="8">
        <v>217</v>
      </c>
      <c r="AE9" s="8">
        <v>223</v>
      </c>
      <c r="AF9" s="8">
        <v>222</v>
      </c>
      <c r="AG9" s="8">
        <v>222</v>
      </c>
      <c r="AH9" s="8">
        <v>225</v>
      </c>
      <c r="AI9" s="8">
        <v>245</v>
      </c>
      <c r="AJ9" s="8">
        <v>254</v>
      </c>
      <c r="AK9" s="8">
        <v>253</v>
      </c>
      <c r="AL9" s="8">
        <v>267</v>
      </c>
      <c r="AM9" s="8">
        <v>250</v>
      </c>
      <c r="AN9" s="8">
        <v>247</v>
      </c>
      <c r="AO9" s="8">
        <v>256</v>
      </c>
      <c r="AP9" s="8">
        <v>249</v>
      </c>
      <c r="AQ9" s="8">
        <v>255</v>
      </c>
      <c r="AR9" s="8">
        <v>259</v>
      </c>
      <c r="AS9" s="8">
        <v>259</v>
      </c>
      <c r="AT9" s="8">
        <v>256</v>
      </c>
      <c r="AU9" s="8">
        <v>257</v>
      </c>
      <c r="AV9" s="8">
        <v>255</v>
      </c>
      <c r="AW9" s="8">
        <v>265</v>
      </c>
      <c r="AX9" s="8">
        <v>262</v>
      </c>
      <c r="AY9" s="8">
        <v>267</v>
      </c>
      <c r="AZ9" s="8">
        <v>266</v>
      </c>
      <c r="BA9" s="8">
        <v>268</v>
      </c>
      <c r="BB9" s="8">
        <v>278</v>
      </c>
      <c r="BC9" s="8">
        <v>280</v>
      </c>
      <c r="BD9" s="8">
        <v>280</v>
      </c>
      <c r="BE9" s="8">
        <v>272</v>
      </c>
      <c r="BF9" s="8">
        <v>283</v>
      </c>
      <c r="BG9" s="8">
        <v>281</v>
      </c>
      <c r="BH9" s="8">
        <v>277</v>
      </c>
    </row>
    <row r="10" spans="1:60" x14ac:dyDescent="0.2">
      <c r="A10" s="7" t="s">
        <v>1</v>
      </c>
      <c r="B10" s="8">
        <v>215</v>
      </c>
      <c r="C10" s="8">
        <v>214</v>
      </c>
      <c r="D10" s="8">
        <v>206</v>
      </c>
      <c r="E10" s="8">
        <v>205</v>
      </c>
      <c r="F10" s="8">
        <v>205</v>
      </c>
      <c r="G10" s="8">
        <v>192</v>
      </c>
      <c r="H10" s="8">
        <v>190</v>
      </c>
      <c r="I10" s="8">
        <v>190</v>
      </c>
      <c r="J10" s="8">
        <v>190</v>
      </c>
      <c r="K10" s="8">
        <v>192</v>
      </c>
      <c r="L10" s="8">
        <v>189</v>
      </c>
      <c r="M10" s="8">
        <v>189</v>
      </c>
      <c r="N10" s="8">
        <v>194</v>
      </c>
      <c r="O10" s="8">
        <v>201</v>
      </c>
      <c r="P10" s="8">
        <v>200</v>
      </c>
      <c r="Q10" s="8">
        <v>206</v>
      </c>
      <c r="R10" s="8">
        <v>226</v>
      </c>
      <c r="S10" s="8">
        <v>233</v>
      </c>
      <c r="T10" s="8">
        <v>247</v>
      </c>
      <c r="U10" s="8">
        <v>248</v>
      </c>
      <c r="V10" s="8">
        <v>250</v>
      </c>
      <c r="W10" s="8">
        <v>240</v>
      </c>
      <c r="X10" s="8">
        <v>241</v>
      </c>
      <c r="Y10" s="8">
        <v>236</v>
      </c>
      <c r="Z10" s="8">
        <v>231</v>
      </c>
      <c r="AA10" s="8">
        <v>231</v>
      </c>
      <c r="AB10" s="8">
        <v>221</v>
      </c>
      <c r="AC10" s="8">
        <v>219</v>
      </c>
      <c r="AD10" s="8">
        <v>224</v>
      </c>
      <c r="AE10" s="8">
        <v>225</v>
      </c>
      <c r="AF10" s="8">
        <v>230</v>
      </c>
      <c r="AG10" s="8">
        <v>227</v>
      </c>
      <c r="AH10" s="8">
        <v>225</v>
      </c>
      <c r="AI10" s="8">
        <v>252</v>
      </c>
      <c r="AJ10" s="8">
        <v>247</v>
      </c>
      <c r="AK10" s="8">
        <v>246</v>
      </c>
      <c r="AL10" s="8">
        <v>232</v>
      </c>
      <c r="AM10" s="8">
        <v>244</v>
      </c>
      <c r="AN10" s="8">
        <v>253</v>
      </c>
      <c r="AO10" s="8">
        <v>280</v>
      </c>
      <c r="AP10" s="8">
        <v>274</v>
      </c>
      <c r="AQ10" s="8">
        <v>276</v>
      </c>
      <c r="AR10" s="8">
        <v>291</v>
      </c>
      <c r="AS10" s="8">
        <v>290</v>
      </c>
      <c r="AT10" s="8">
        <v>287</v>
      </c>
      <c r="AU10" s="8">
        <v>291</v>
      </c>
      <c r="AV10" s="8">
        <v>294</v>
      </c>
      <c r="AW10" s="8">
        <v>293</v>
      </c>
      <c r="AX10" s="8">
        <v>294</v>
      </c>
      <c r="AY10" s="8">
        <v>299</v>
      </c>
      <c r="AZ10" s="8">
        <v>299</v>
      </c>
      <c r="BA10" s="8">
        <v>298</v>
      </c>
      <c r="BB10" s="8">
        <v>302</v>
      </c>
      <c r="BC10" s="8">
        <v>318</v>
      </c>
      <c r="BD10" s="8">
        <v>327</v>
      </c>
      <c r="BE10" s="8">
        <v>326</v>
      </c>
      <c r="BF10" s="8">
        <v>328</v>
      </c>
      <c r="BG10" s="8">
        <v>335</v>
      </c>
      <c r="BH10" s="8">
        <v>338</v>
      </c>
    </row>
    <row r="11" spans="1:60" x14ac:dyDescent="0.2">
      <c r="A11" s="7" t="s">
        <v>74</v>
      </c>
      <c r="B11" s="8">
        <v>166</v>
      </c>
      <c r="C11" s="8">
        <v>153</v>
      </c>
      <c r="D11" s="8">
        <v>152</v>
      </c>
      <c r="E11" s="8">
        <v>147</v>
      </c>
      <c r="F11" s="8">
        <v>136</v>
      </c>
      <c r="G11" s="8">
        <v>133</v>
      </c>
      <c r="H11" s="8">
        <v>132</v>
      </c>
      <c r="I11" s="8">
        <v>131</v>
      </c>
      <c r="J11" s="8">
        <v>127</v>
      </c>
      <c r="K11" s="8">
        <v>128</v>
      </c>
      <c r="L11" s="8">
        <v>126</v>
      </c>
      <c r="M11" s="8">
        <v>137</v>
      </c>
      <c r="N11" s="8">
        <v>144</v>
      </c>
      <c r="O11" s="8">
        <v>142</v>
      </c>
      <c r="P11" s="8">
        <v>151</v>
      </c>
      <c r="Q11" s="8">
        <v>150</v>
      </c>
      <c r="R11" s="8">
        <v>147</v>
      </c>
      <c r="S11" s="8">
        <v>164</v>
      </c>
      <c r="T11" s="8">
        <v>167</v>
      </c>
      <c r="U11" s="8">
        <v>177</v>
      </c>
      <c r="V11" s="8">
        <v>172</v>
      </c>
      <c r="W11" s="8">
        <v>163</v>
      </c>
      <c r="X11" s="8">
        <v>167</v>
      </c>
      <c r="Y11" s="8">
        <v>160</v>
      </c>
      <c r="Z11" s="8">
        <v>152</v>
      </c>
      <c r="AA11" s="8">
        <v>144</v>
      </c>
      <c r="AB11" s="8">
        <v>136</v>
      </c>
      <c r="AC11" s="8">
        <v>136</v>
      </c>
      <c r="AD11" s="8">
        <v>138</v>
      </c>
      <c r="AE11" s="8">
        <v>141</v>
      </c>
      <c r="AF11" s="8">
        <v>152</v>
      </c>
      <c r="AG11" s="8">
        <v>147</v>
      </c>
      <c r="AH11" s="8">
        <v>163</v>
      </c>
      <c r="AI11" s="8">
        <v>156</v>
      </c>
      <c r="AJ11" s="8">
        <v>169</v>
      </c>
      <c r="AK11" s="8">
        <v>168</v>
      </c>
      <c r="AL11" s="8">
        <v>165</v>
      </c>
      <c r="AM11" s="8">
        <v>171</v>
      </c>
      <c r="AN11" s="8">
        <v>157</v>
      </c>
      <c r="AO11" s="8">
        <v>167</v>
      </c>
      <c r="AP11" s="8">
        <v>167</v>
      </c>
      <c r="AQ11" s="8">
        <v>167</v>
      </c>
      <c r="AR11" s="8">
        <v>196</v>
      </c>
      <c r="AS11" s="8">
        <v>188</v>
      </c>
      <c r="AT11" s="8">
        <v>191</v>
      </c>
      <c r="AU11" s="8">
        <v>192</v>
      </c>
      <c r="AV11" s="8">
        <v>192</v>
      </c>
      <c r="AW11" s="8">
        <v>195</v>
      </c>
      <c r="AX11" s="8">
        <v>193</v>
      </c>
      <c r="AY11" s="8">
        <v>194</v>
      </c>
      <c r="AZ11" s="8">
        <v>196</v>
      </c>
      <c r="BA11" s="8">
        <v>193</v>
      </c>
      <c r="BB11" s="8">
        <v>202</v>
      </c>
      <c r="BC11" s="8">
        <v>204</v>
      </c>
      <c r="BD11" s="8">
        <v>205</v>
      </c>
      <c r="BE11" s="8">
        <v>211</v>
      </c>
      <c r="BF11" s="8">
        <v>211</v>
      </c>
      <c r="BG11" s="8">
        <v>214</v>
      </c>
      <c r="BH11" s="8">
        <v>213</v>
      </c>
    </row>
    <row r="12" spans="1:60" x14ac:dyDescent="0.2">
      <c r="A12" s="7" t="s">
        <v>5</v>
      </c>
      <c r="B12" s="8">
        <v>13</v>
      </c>
      <c r="C12" s="8">
        <v>13</v>
      </c>
      <c r="D12" s="8">
        <v>14</v>
      </c>
      <c r="E12" s="8">
        <v>14</v>
      </c>
      <c r="F12" s="8">
        <v>14</v>
      </c>
      <c r="G12" s="8">
        <v>14</v>
      </c>
      <c r="H12" s="8">
        <v>17</v>
      </c>
      <c r="I12" s="8">
        <v>16</v>
      </c>
      <c r="J12" s="8">
        <v>16</v>
      </c>
      <c r="K12" s="8">
        <v>19</v>
      </c>
      <c r="L12" s="8">
        <v>21</v>
      </c>
      <c r="M12" s="8">
        <v>23</v>
      </c>
      <c r="N12" s="8">
        <v>23</v>
      </c>
      <c r="O12" s="8">
        <v>24</v>
      </c>
      <c r="P12" s="8">
        <v>23</v>
      </c>
      <c r="Q12" s="8">
        <v>28</v>
      </c>
      <c r="R12" s="8">
        <v>32</v>
      </c>
      <c r="S12" s="8">
        <v>36</v>
      </c>
      <c r="T12" s="8">
        <v>36</v>
      </c>
      <c r="U12" s="8">
        <v>37</v>
      </c>
      <c r="V12" s="8">
        <v>39</v>
      </c>
      <c r="W12" s="8">
        <v>39</v>
      </c>
      <c r="X12" s="8">
        <v>36</v>
      </c>
      <c r="Y12" s="8">
        <v>35</v>
      </c>
      <c r="Z12" s="8">
        <v>34</v>
      </c>
      <c r="AA12" s="8">
        <v>35</v>
      </c>
      <c r="AB12" s="8">
        <v>31</v>
      </c>
      <c r="AC12" s="8">
        <v>30</v>
      </c>
      <c r="AD12" s="8">
        <v>29</v>
      </c>
      <c r="AE12" s="8">
        <v>31</v>
      </c>
      <c r="AF12" s="8">
        <v>32</v>
      </c>
      <c r="AG12" s="8">
        <v>34</v>
      </c>
      <c r="AH12" s="8">
        <v>33</v>
      </c>
      <c r="AI12" s="8">
        <v>34</v>
      </c>
      <c r="AJ12" s="8">
        <v>32</v>
      </c>
      <c r="AK12" s="8">
        <v>31</v>
      </c>
      <c r="AL12" s="8">
        <v>32</v>
      </c>
      <c r="AM12" s="8">
        <v>31</v>
      </c>
      <c r="AN12" s="8">
        <v>31</v>
      </c>
      <c r="AO12" s="8">
        <v>28</v>
      </c>
      <c r="AP12" s="8">
        <v>28</v>
      </c>
      <c r="AQ12" s="8">
        <v>29</v>
      </c>
      <c r="AR12" s="8">
        <v>28</v>
      </c>
      <c r="AS12" s="8">
        <v>29</v>
      </c>
      <c r="AT12" s="8">
        <v>29</v>
      </c>
      <c r="AU12" s="8">
        <v>28</v>
      </c>
      <c r="AV12" s="8">
        <v>23</v>
      </c>
      <c r="AW12" s="8">
        <v>22</v>
      </c>
      <c r="AX12" s="8">
        <v>29</v>
      </c>
      <c r="AY12" s="8">
        <v>32</v>
      </c>
      <c r="AZ12" s="8">
        <v>33</v>
      </c>
      <c r="BA12" s="8">
        <v>32</v>
      </c>
      <c r="BB12" s="8">
        <v>29</v>
      </c>
      <c r="BC12" s="8">
        <v>33</v>
      </c>
      <c r="BD12" s="8">
        <v>30</v>
      </c>
      <c r="BE12" s="8">
        <v>31</v>
      </c>
      <c r="BF12" s="8">
        <v>34</v>
      </c>
      <c r="BG12" s="8">
        <v>35</v>
      </c>
      <c r="BH12" s="8">
        <v>34</v>
      </c>
    </row>
    <row r="13" spans="1:60" x14ac:dyDescent="0.2">
      <c r="A13" s="7" t="s">
        <v>77</v>
      </c>
      <c r="B13" s="8">
        <v>543</v>
      </c>
      <c r="C13" s="8">
        <v>514</v>
      </c>
      <c r="D13" s="8">
        <v>482</v>
      </c>
      <c r="E13" s="8">
        <v>451</v>
      </c>
      <c r="F13" s="8">
        <v>407</v>
      </c>
      <c r="G13" s="8">
        <v>376</v>
      </c>
      <c r="H13" s="8">
        <v>358</v>
      </c>
      <c r="I13" s="8">
        <v>366</v>
      </c>
      <c r="J13" s="8">
        <v>359</v>
      </c>
      <c r="K13" s="8">
        <v>353</v>
      </c>
      <c r="L13" s="8">
        <v>358</v>
      </c>
      <c r="M13" s="8">
        <v>340</v>
      </c>
      <c r="N13" s="8">
        <v>339</v>
      </c>
      <c r="O13" s="8">
        <v>339</v>
      </c>
      <c r="P13" s="8">
        <v>335</v>
      </c>
      <c r="Q13" s="8">
        <v>351</v>
      </c>
      <c r="R13" s="8">
        <v>349</v>
      </c>
      <c r="S13" s="8">
        <v>362</v>
      </c>
      <c r="T13" s="8">
        <v>392</v>
      </c>
      <c r="U13" s="8">
        <v>403</v>
      </c>
      <c r="V13" s="8">
        <v>393</v>
      </c>
      <c r="W13" s="8">
        <v>366</v>
      </c>
      <c r="X13" s="8">
        <v>349</v>
      </c>
      <c r="Y13" s="8">
        <v>343</v>
      </c>
      <c r="Z13" s="8">
        <v>327</v>
      </c>
      <c r="AA13" s="8">
        <v>321</v>
      </c>
      <c r="AB13" s="8">
        <v>308</v>
      </c>
      <c r="AC13" s="8">
        <v>287</v>
      </c>
      <c r="AD13" s="8">
        <v>293</v>
      </c>
      <c r="AE13" s="8">
        <v>311</v>
      </c>
      <c r="AF13" s="8">
        <v>312</v>
      </c>
      <c r="AG13" s="8">
        <v>322</v>
      </c>
      <c r="AH13" s="8">
        <v>321</v>
      </c>
      <c r="AI13" s="8">
        <v>362</v>
      </c>
      <c r="AJ13" s="8">
        <v>397</v>
      </c>
      <c r="AK13" s="8">
        <v>391</v>
      </c>
      <c r="AL13" s="8">
        <v>389</v>
      </c>
      <c r="AM13" s="8">
        <v>391</v>
      </c>
      <c r="AN13" s="8">
        <v>397</v>
      </c>
      <c r="AO13" s="8">
        <v>405</v>
      </c>
      <c r="AP13" s="8">
        <v>414</v>
      </c>
      <c r="AQ13" s="8">
        <v>416</v>
      </c>
      <c r="AR13" s="8">
        <v>413</v>
      </c>
      <c r="AS13" s="8">
        <v>416</v>
      </c>
      <c r="AT13" s="8">
        <v>415</v>
      </c>
      <c r="AU13" s="8">
        <v>424</v>
      </c>
      <c r="AV13" s="8">
        <v>431</v>
      </c>
      <c r="AW13" s="8">
        <v>432</v>
      </c>
      <c r="AX13" s="8">
        <v>434</v>
      </c>
      <c r="AY13" s="8">
        <v>440</v>
      </c>
      <c r="AZ13" s="8">
        <v>445</v>
      </c>
      <c r="BA13" s="8">
        <v>449</v>
      </c>
      <c r="BB13" s="8">
        <v>448</v>
      </c>
      <c r="BC13" s="8">
        <v>456</v>
      </c>
      <c r="BD13" s="8">
        <v>460</v>
      </c>
      <c r="BE13" s="8">
        <v>471</v>
      </c>
      <c r="BF13" s="8">
        <v>488</v>
      </c>
      <c r="BG13" s="8">
        <v>487</v>
      </c>
      <c r="BH13" s="8">
        <v>485</v>
      </c>
    </row>
    <row r="14" spans="1:60" x14ac:dyDescent="0.2">
      <c r="A14" s="7" t="s">
        <v>78</v>
      </c>
      <c r="B14" s="8">
        <v>544</v>
      </c>
      <c r="C14" s="8">
        <v>481</v>
      </c>
      <c r="D14" s="8">
        <v>425</v>
      </c>
      <c r="E14" s="8">
        <v>391</v>
      </c>
      <c r="F14" s="8">
        <v>362</v>
      </c>
      <c r="G14" s="8">
        <v>342</v>
      </c>
      <c r="H14" s="8">
        <v>343</v>
      </c>
      <c r="I14" s="8">
        <v>342</v>
      </c>
      <c r="J14" s="8">
        <v>339</v>
      </c>
      <c r="K14" s="8">
        <v>342</v>
      </c>
      <c r="L14" s="8">
        <v>352</v>
      </c>
      <c r="M14" s="8">
        <v>334</v>
      </c>
      <c r="N14" s="8">
        <v>330</v>
      </c>
      <c r="O14" s="8">
        <v>337</v>
      </c>
      <c r="P14" s="8">
        <v>328</v>
      </c>
      <c r="Q14" s="8">
        <v>325</v>
      </c>
      <c r="R14" s="8">
        <v>320</v>
      </c>
      <c r="S14" s="8">
        <v>325</v>
      </c>
      <c r="T14" s="8">
        <v>345</v>
      </c>
      <c r="U14" s="8">
        <v>353</v>
      </c>
      <c r="V14" s="8">
        <v>353</v>
      </c>
      <c r="W14" s="8">
        <v>363</v>
      </c>
      <c r="X14" s="8">
        <v>338</v>
      </c>
      <c r="Y14" s="8">
        <v>325</v>
      </c>
      <c r="Z14" s="8">
        <v>300</v>
      </c>
      <c r="AA14" s="8">
        <v>297</v>
      </c>
      <c r="AB14" s="8">
        <v>300</v>
      </c>
      <c r="AC14" s="8">
        <v>296</v>
      </c>
      <c r="AD14" s="8">
        <v>304</v>
      </c>
      <c r="AE14" s="8">
        <v>311</v>
      </c>
      <c r="AF14" s="8">
        <v>353</v>
      </c>
      <c r="AG14" s="8">
        <v>348</v>
      </c>
      <c r="AH14" s="8">
        <v>352</v>
      </c>
      <c r="AI14" s="8">
        <v>382</v>
      </c>
      <c r="AJ14" s="8">
        <v>392</v>
      </c>
      <c r="AK14" s="8">
        <v>395</v>
      </c>
      <c r="AL14" s="8">
        <v>398</v>
      </c>
      <c r="AM14" s="8">
        <v>390</v>
      </c>
      <c r="AN14" s="8">
        <v>393</v>
      </c>
      <c r="AO14" s="8">
        <v>383</v>
      </c>
      <c r="AP14" s="8">
        <v>386</v>
      </c>
      <c r="AQ14" s="8">
        <v>388</v>
      </c>
      <c r="AR14" s="8">
        <v>387</v>
      </c>
      <c r="AS14" s="8">
        <v>395</v>
      </c>
      <c r="AT14" s="8">
        <v>388</v>
      </c>
      <c r="AU14" s="8">
        <v>393</v>
      </c>
      <c r="AV14" s="8">
        <v>388</v>
      </c>
      <c r="AW14" s="8">
        <v>398</v>
      </c>
      <c r="AX14" s="8">
        <v>411</v>
      </c>
      <c r="AY14" s="8">
        <v>420</v>
      </c>
      <c r="AZ14" s="8">
        <v>421</v>
      </c>
      <c r="BA14" s="8">
        <v>431</v>
      </c>
      <c r="BB14" s="8">
        <v>431</v>
      </c>
      <c r="BC14" s="8">
        <v>435</v>
      </c>
      <c r="BD14" s="8">
        <v>443</v>
      </c>
      <c r="BE14" s="8">
        <v>450</v>
      </c>
      <c r="BF14" s="8">
        <v>454</v>
      </c>
      <c r="BG14" s="8">
        <v>455</v>
      </c>
      <c r="BH14" s="8">
        <v>460</v>
      </c>
    </row>
    <row r="15" spans="1:60" x14ac:dyDescent="0.2">
      <c r="A15" s="7" t="s">
        <v>2</v>
      </c>
      <c r="B15" s="8">
        <v>669</v>
      </c>
      <c r="C15" s="8">
        <v>641</v>
      </c>
      <c r="D15" s="8">
        <v>627</v>
      </c>
      <c r="E15" s="8">
        <v>612</v>
      </c>
      <c r="F15" s="8">
        <v>613</v>
      </c>
      <c r="G15" s="8">
        <v>638</v>
      </c>
      <c r="H15" s="8">
        <v>683</v>
      </c>
      <c r="I15" s="8">
        <v>732</v>
      </c>
      <c r="J15" s="8">
        <v>747</v>
      </c>
      <c r="K15" s="8">
        <v>781</v>
      </c>
      <c r="L15" s="8">
        <v>808</v>
      </c>
      <c r="M15" s="8">
        <v>815</v>
      </c>
      <c r="N15" s="8">
        <v>827</v>
      </c>
      <c r="O15" s="8">
        <v>856</v>
      </c>
      <c r="P15" s="8">
        <v>851</v>
      </c>
      <c r="Q15" s="8">
        <v>888</v>
      </c>
      <c r="R15" s="8">
        <v>892</v>
      </c>
      <c r="S15" s="8">
        <v>913</v>
      </c>
      <c r="T15" s="8">
        <v>923</v>
      </c>
      <c r="U15" s="8">
        <v>911</v>
      </c>
      <c r="V15" s="8">
        <v>895</v>
      </c>
      <c r="W15" s="8">
        <v>877</v>
      </c>
      <c r="X15" s="8">
        <v>857</v>
      </c>
      <c r="Y15" s="8">
        <v>815</v>
      </c>
      <c r="Z15" s="8">
        <v>787</v>
      </c>
      <c r="AA15" s="8">
        <v>773</v>
      </c>
      <c r="AB15" s="8">
        <v>765</v>
      </c>
      <c r="AC15" s="8">
        <v>772</v>
      </c>
      <c r="AD15" s="8">
        <v>774</v>
      </c>
      <c r="AE15" s="8">
        <v>786</v>
      </c>
      <c r="AF15" s="8">
        <v>809</v>
      </c>
      <c r="AG15" s="8">
        <v>833</v>
      </c>
      <c r="AH15" s="8">
        <v>874</v>
      </c>
      <c r="AI15" s="8">
        <v>888</v>
      </c>
      <c r="AJ15" s="8">
        <v>884</v>
      </c>
      <c r="AK15" s="8">
        <v>921</v>
      </c>
      <c r="AL15" s="8">
        <v>959</v>
      </c>
      <c r="AM15" s="8">
        <v>971</v>
      </c>
      <c r="AN15" s="8">
        <v>999</v>
      </c>
      <c r="AO15" s="8">
        <v>995</v>
      </c>
      <c r="AP15" s="8">
        <v>991</v>
      </c>
      <c r="AQ15" s="8">
        <v>988</v>
      </c>
      <c r="AR15" s="8">
        <v>996</v>
      </c>
      <c r="AS15" s="8">
        <v>1005</v>
      </c>
      <c r="AT15" s="8">
        <v>1005</v>
      </c>
      <c r="AU15" s="8">
        <v>1005</v>
      </c>
      <c r="AV15" s="8">
        <v>1015</v>
      </c>
      <c r="AW15" s="8">
        <v>1054</v>
      </c>
      <c r="AX15" s="8">
        <v>1076</v>
      </c>
      <c r="AY15" s="8">
        <v>1073</v>
      </c>
      <c r="AZ15" s="8">
        <v>1106</v>
      </c>
      <c r="BA15" s="8">
        <v>1124</v>
      </c>
      <c r="BB15" s="8">
        <v>1147</v>
      </c>
      <c r="BC15" s="8">
        <v>1185</v>
      </c>
      <c r="BD15" s="8">
        <v>1182</v>
      </c>
      <c r="BE15" s="8">
        <v>1167</v>
      </c>
      <c r="BF15" s="8">
        <v>1195</v>
      </c>
      <c r="BG15" s="8">
        <v>1196</v>
      </c>
      <c r="BH15" s="8">
        <v>1202</v>
      </c>
    </row>
    <row r="16" spans="1:60" x14ac:dyDescent="0.2">
      <c r="A16" s="7" t="s">
        <v>75</v>
      </c>
      <c r="B16" s="8">
        <v>271</v>
      </c>
      <c r="C16" s="8">
        <v>264</v>
      </c>
      <c r="D16" s="8">
        <v>261</v>
      </c>
      <c r="E16" s="8">
        <v>243</v>
      </c>
      <c r="F16" s="8">
        <v>233</v>
      </c>
      <c r="G16" s="8">
        <v>229</v>
      </c>
      <c r="H16" s="8">
        <v>220</v>
      </c>
      <c r="I16" s="8">
        <v>213</v>
      </c>
      <c r="J16" s="8">
        <v>210</v>
      </c>
      <c r="K16" s="8">
        <v>211</v>
      </c>
      <c r="L16" s="8">
        <v>219</v>
      </c>
      <c r="M16" s="8">
        <v>231</v>
      </c>
      <c r="N16" s="8">
        <v>229</v>
      </c>
      <c r="O16" s="8">
        <v>244</v>
      </c>
      <c r="P16" s="8">
        <v>231</v>
      </c>
      <c r="Q16" s="8">
        <v>228</v>
      </c>
      <c r="R16" s="8">
        <v>233</v>
      </c>
      <c r="S16" s="8">
        <v>242</v>
      </c>
      <c r="T16" s="8">
        <v>257</v>
      </c>
      <c r="U16" s="8">
        <v>269</v>
      </c>
      <c r="V16" s="8">
        <v>268</v>
      </c>
      <c r="W16" s="8">
        <v>257</v>
      </c>
      <c r="X16" s="8">
        <v>242</v>
      </c>
      <c r="Y16" s="8">
        <v>230</v>
      </c>
      <c r="Z16" s="8">
        <v>230</v>
      </c>
      <c r="AA16" s="8">
        <v>223</v>
      </c>
      <c r="AB16" s="8">
        <v>218</v>
      </c>
      <c r="AC16" s="8">
        <v>216</v>
      </c>
      <c r="AD16" s="8">
        <v>215</v>
      </c>
      <c r="AE16" s="8">
        <v>220</v>
      </c>
      <c r="AF16" s="8">
        <v>222</v>
      </c>
      <c r="AG16" s="8">
        <v>223</v>
      </c>
      <c r="AH16" s="8">
        <v>236</v>
      </c>
      <c r="AI16" s="8">
        <v>264</v>
      </c>
      <c r="AJ16" s="8">
        <v>274</v>
      </c>
      <c r="AK16" s="8">
        <v>274</v>
      </c>
      <c r="AL16" s="8">
        <v>270</v>
      </c>
      <c r="AM16" s="8">
        <v>273</v>
      </c>
      <c r="AN16" s="8">
        <v>275</v>
      </c>
      <c r="AO16" s="8">
        <v>262</v>
      </c>
      <c r="AP16" s="8">
        <v>263</v>
      </c>
      <c r="AQ16" s="8">
        <v>264</v>
      </c>
      <c r="AR16" s="8">
        <v>265</v>
      </c>
      <c r="AS16" s="8">
        <v>298</v>
      </c>
      <c r="AT16" s="8">
        <v>284</v>
      </c>
      <c r="AU16" s="8">
        <v>284</v>
      </c>
      <c r="AV16" s="8">
        <v>280</v>
      </c>
      <c r="AW16" s="8">
        <v>280</v>
      </c>
      <c r="AX16" s="8">
        <v>280</v>
      </c>
      <c r="AY16" s="8">
        <v>277</v>
      </c>
      <c r="AZ16" s="8">
        <v>278</v>
      </c>
      <c r="BA16" s="8">
        <v>284</v>
      </c>
      <c r="BB16" s="8">
        <v>288</v>
      </c>
      <c r="BC16" s="8">
        <v>292</v>
      </c>
      <c r="BD16" s="8">
        <v>293</v>
      </c>
      <c r="BE16" s="8">
        <v>291</v>
      </c>
      <c r="BF16" s="8">
        <v>300</v>
      </c>
      <c r="BG16" s="8">
        <v>303</v>
      </c>
      <c r="BH16" s="8">
        <v>302</v>
      </c>
    </row>
    <row r="17" spans="1:60" x14ac:dyDescent="0.2">
      <c r="A17" s="7" t="s">
        <v>79</v>
      </c>
      <c r="B17" s="8">
        <v>525</v>
      </c>
      <c r="C17" s="8">
        <v>508</v>
      </c>
      <c r="D17" s="8">
        <v>479</v>
      </c>
      <c r="E17" s="8">
        <v>459</v>
      </c>
      <c r="F17" s="8">
        <v>445</v>
      </c>
      <c r="G17" s="8">
        <v>436</v>
      </c>
      <c r="H17" s="8">
        <v>428</v>
      </c>
      <c r="I17" s="8">
        <v>438</v>
      </c>
      <c r="J17" s="8">
        <v>428</v>
      </c>
      <c r="K17" s="8">
        <v>420</v>
      </c>
      <c r="L17" s="8">
        <v>417</v>
      </c>
      <c r="M17" s="8">
        <v>434</v>
      </c>
      <c r="N17" s="8">
        <v>433</v>
      </c>
      <c r="O17" s="8">
        <v>434</v>
      </c>
      <c r="P17" s="8">
        <v>449</v>
      </c>
      <c r="Q17" s="8">
        <v>474</v>
      </c>
      <c r="R17" s="8">
        <v>496</v>
      </c>
      <c r="S17" s="8">
        <v>522</v>
      </c>
      <c r="T17" s="8">
        <v>557</v>
      </c>
      <c r="U17" s="8">
        <v>563</v>
      </c>
      <c r="V17" s="8">
        <v>575</v>
      </c>
      <c r="W17" s="8">
        <v>578</v>
      </c>
      <c r="X17" s="8">
        <v>535</v>
      </c>
      <c r="Y17" s="8">
        <v>516</v>
      </c>
      <c r="Z17" s="8">
        <v>494</v>
      </c>
      <c r="AA17" s="8">
        <v>498</v>
      </c>
      <c r="AB17" s="8">
        <v>467</v>
      </c>
      <c r="AC17" s="8">
        <v>453</v>
      </c>
      <c r="AD17" s="8">
        <v>448</v>
      </c>
      <c r="AE17" s="8">
        <v>457</v>
      </c>
      <c r="AF17" s="8">
        <v>478</v>
      </c>
      <c r="AG17" s="8">
        <v>488</v>
      </c>
      <c r="AH17" s="8">
        <v>507</v>
      </c>
      <c r="AI17" s="8">
        <v>529</v>
      </c>
      <c r="AJ17" s="8">
        <v>534</v>
      </c>
      <c r="AK17" s="8">
        <v>550</v>
      </c>
      <c r="AL17" s="8">
        <v>559</v>
      </c>
      <c r="AM17" s="8">
        <v>556</v>
      </c>
      <c r="AN17" s="8">
        <v>547</v>
      </c>
      <c r="AO17" s="8">
        <v>555</v>
      </c>
      <c r="AP17" s="8">
        <v>548</v>
      </c>
      <c r="AQ17" s="8">
        <v>553</v>
      </c>
      <c r="AR17" s="8">
        <v>551</v>
      </c>
      <c r="AS17" s="8">
        <v>553</v>
      </c>
      <c r="AT17" s="8">
        <v>569</v>
      </c>
      <c r="AU17" s="8">
        <v>562</v>
      </c>
      <c r="AV17" s="8">
        <v>578</v>
      </c>
      <c r="AW17" s="8">
        <v>581</v>
      </c>
      <c r="AX17" s="8">
        <v>589</v>
      </c>
      <c r="AY17" s="8">
        <v>611</v>
      </c>
      <c r="AZ17" s="8">
        <v>634</v>
      </c>
      <c r="BA17" s="8">
        <v>637</v>
      </c>
      <c r="BB17" s="8">
        <v>638</v>
      </c>
      <c r="BC17" s="8">
        <v>660</v>
      </c>
      <c r="BD17" s="8">
        <v>664</v>
      </c>
      <c r="BE17" s="8">
        <v>675</v>
      </c>
      <c r="BF17" s="8">
        <v>681</v>
      </c>
      <c r="BG17" s="8">
        <v>680</v>
      </c>
      <c r="BH17" s="8">
        <v>682</v>
      </c>
    </row>
    <row r="18" spans="1:60" x14ac:dyDescent="0.2">
      <c r="A18" s="7" t="s">
        <v>80</v>
      </c>
      <c r="B18" s="8">
        <v>617</v>
      </c>
      <c r="C18" s="8">
        <v>592</v>
      </c>
      <c r="D18" s="8">
        <v>548</v>
      </c>
      <c r="E18" s="8">
        <v>520</v>
      </c>
      <c r="F18" s="8">
        <v>494</v>
      </c>
      <c r="G18" s="8">
        <v>491</v>
      </c>
      <c r="H18" s="8">
        <v>471</v>
      </c>
      <c r="I18" s="8">
        <v>478</v>
      </c>
      <c r="J18" s="8">
        <v>472</v>
      </c>
      <c r="K18" s="8">
        <v>462</v>
      </c>
      <c r="L18" s="8">
        <v>469</v>
      </c>
      <c r="M18" s="8">
        <v>485</v>
      </c>
      <c r="N18" s="8">
        <v>469</v>
      </c>
      <c r="O18" s="8">
        <v>468</v>
      </c>
      <c r="P18" s="8">
        <v>465</v>
      </c>
      <c r="Q18" s="8">
        <v>486</v>
      </c>
      <c r="R18" s="8">
        <v>508</v>
      </c>
      <c r="S18" s="8">
        <v>540</v>
      </c>
      <c r="T18" s="8">
        <v>574</v>
      </c>
      <c r="U18" s="8">
        <v>571</v>
      </c>
      <c r="V18" s="8">
        <v>564</v>
      </c>
      <c r="W18" s="8">
        <v>530</v>
      </c>
      <c r="X18" s="8">
        <v>494</v>
      </c>
      <c r="Y18" s="8">
        <v>459</v>
      </c>
      <c r="Z18" s="8">
        <v>442</v>
      </c>
      <c r="AA18" s="8">
        <v>428</v>
      </c>
      <c r="AB18" s="8">
        <v>393</v>
      </c>
      <c r="AC18" s="8">
        <v>391</v>
      </c>
      <c r="AD18" s="8">
        <v>399</v>
      </c>
      <c r="AE18" s="8">
        <v>396</v>
      </c>
      <c r="AF18" s="8">
        <v>404</v>
      </c>
      <c r="AG18" s="8">
        <v>418</v>
      </c>
      <c r="AH18" s="8">
        <v>441</v>
      </c>
      <c r="AI18" s="8">
        <v>457</v>
      </c>
      <c r="AJ18" s="8">
        <v>468</v>
      </c>
      <c r="AK18" s="8">
        <v>485</v>
      </c>
      <c r="AL18" s="8">
        <v>485</v>
      </c>
      <c r="AM18" s="8">
        <v>491</v>
      </c>
      <c r="AN18" s="8">
        <v>496</v>
      </c>
      <c r="AO18" s="8">
        <v>488</v>
      </c>
      <c r="AP18" s="8">
        <v>486</v>
      </c>
      <c r="AQ18" s="8">
        <v>498</v>
      </c>
      <c r="AR18" s="8">
        <v>502</v>
      </c>
      <c r="AS18" s="8">
        <v>503</v>
      </c>
      <c r="AT18" s="8">
        <v>511</v>
      </c>
      <c r="AU18" s="8">
        <v>504</v>
      </c>
      <c r="AV18" s="8">
        <v>504</v>
      </c>
      <c r="AW18" s="8">
        <v>518</v>
      </c>
      <c r="AX18" s="8">
        <v>518</v>
      </c>
      <c r="AY18" s="8">
        <v>519</v>
      </c>
      <c r="AZ18" s="8">
        <v>528</v>
      </c>
      <c r="BA18" s="8">
        <v>549</v>
      </c>
      <c r="BB18" s="8">
        <v>552</v>
      </c>
      <c r="BC18" s="8">
        <v>566</v>
      </c>
      <c r="BD18" s="8">
        <v>556</v>
      </c>
      <c r="BE18" s="8">
        <v>566</v>
      </c>
      <c r="BF18" s="8">
        <v>570</v>
      </c>
      <c r="BG18" s="8">
        <v>580</v>
      </c>
      <c r="BH18" s="8">
        <v>579</v>
      </c>
    </row>
    <row r="19" spans="1:60" x14ac:dyDescent="0.2">
      <c r="A19" s="7" t="s">
        <v>3</v>
      </c>
      <c r="B19" s="8">
        <v>307</v>
      </c>
      <c r="C19" s="8">
        <v>307</v>
      </c>
      <c r="D19" s="8">
        <v>299</v>
      </c>
      <c r="E19" s="8">
        <v>284</v>
      </c>
      <c r="F19" s="8">
        <v>261</v>
      </c>
      <c r="G19" s="8">
        <v>244</v>
      </c>
      <c r="H19" s="8">
        <v>235</v>
      </c>
      <c r="I19" s="8">
        <v>222</v>
      </c>
      <c r="J19" s="8">
        <v>226</v>
      </c>
      <c r="K19" s="8">
        <v>218</v>
      </c>
      <c r="L19" s="8">
        <v>235</v>
      </c>
      <c r="M19" s="8">
        <v>239</v>
      </c>
      <c r="N19" s="8">
        <v>240</v>
      </c>
      <c r="O19" s="8">
        <v>239</v>
      </c>
      <c r="P19" s="8">
        <v>246</v>
      </c>
      <c r="Q19" s="8">
        <v>243</v>
      </c>
      <c r="R19" s="8">
        <v>247</v>
      </c>
      <c r="S19" s="8">
        <v>255</v>
      </c>
      <c r="T19" s="8">
        <v>269</v>
      </c>
      <c r="U19" s="8">
        <v>272</v>
      </c>
      <c r="V19" s="8">
        <v>269</v>
      </c>
      <c r="W19" s="8">
        <v>266</v>
      </c>
      <c r="X19" s="8">
        <v>255</v>
      </c>
      <c r="Y19" s="8">
        <v>251</v>
      </c>
      <c r="Z19" s="8">
        <v>244</v>
      </c>
      <c r="AA19" s="8">
        <v>240</v>
      </c>
      <c r="AB19" s="8">
        <v>234</v>
      </c>
      <c r="AC19" s="8">
        <v>231</v>
      </c>
      <c r="AD19" s="8">
        <v>231</v>
      </c>
      <c r="AE19" s="8">
        <v>237</v>
      </c>
      <c r="AF19" s="8">
        <v>265</v>
      </c>
      <c r="AG19" s="8">
        <v>266</v>
      </c>
      <c r="AH19" s="8">
        <v>264</v>
      </c>
      <c r="AI19" s="8">
        <v>274</v>
      </c>
      <c r="AJ19" s="8">
        <v>291</v>
      </c>
      <c r="AK19" s="8">
        <v>293</v>
      </c>
      <c r="AL19" s="8">
        <v>295</v>
      </c>
      <c r="AM19" s="8">
        <v>303</v>
      </c>
      <c r="AN19" s="8">
        <v>285</v>
      </c>
      <c r="AO19" s="8">
        <v>282</v>
      </c>
      <c r="AP19" s="8">
        <v>284</v>
      </c>
      <c r="AQ19" s="8">
        <v>293</v>
      </c>
      <c r="AR19" s="8">
        <v>299</v>
      </c>
      <c r="AS19" s="8">
        <v>314</v>
      </c>
      <c r="AT19" s="8">
        <v>310</v>
      </c>
      <c r="AU19" s="8">
        <v>310</v>
      </c>
      <c r="AV19" s="8">
        <v>308</v>
      </c>
      <c r="AW19" s="8">
        <v>308</v>
      </c>
      <c r="AX19" s="8">
        <v>314</v>
      </c>
      <c r="AY19" s="8">
        <v>325</v>
      </c>
      <c r="AZ19" s="8">
        <v>325</v>
      </c>
      <c r="BA19" s="8">
        <v>327</v>
      </c>
      <c r="BB19" s="8">
        <v>327</v>
      </c>
      <c r="BC19" s="8">
        <v>332</v>
      </c>
      <c r="BD19" s="8">
        <v>342</v>
      </c>
      <c r="BE19" s="8">
        <v>345</v>
      </c>
      <c r="BF19" s="8">
        <v>347</v>
      </c>
      <c r="BG19" s="8">
        <v>346</v>
      </c>
      <c r="BH19" s="8">
        <v>359</v>
      </c>
    </row>
    <row r="20" spans="1:60" x14ac:dyDescent="0.2">
      <c r="A20" s="7" t="s">
        <v>4</v>
      </c>
      <c r="B20" s="8">
        <v>456</v>
      </c>
      <c r="C20" s="8">
        <v>431</v>
      </c>
      <c r="D20" s="8">
        <v>415</v>
      </c>
      <c r="E20" s="8">
        <v>400</v>
      </c>
      <c r="F20" s="8">
        <v>384</v>
      </c>
      <c r="G20" s="8">
        <v>383</v>
      </c>
      <c r="H20" s="8">
        <v>387</v>
      </c>
      <c r="I20" s="8">
        <v>399</v>
      </c>
      <c r="J20" s="8">
        <v>403</v>
      </c>
      <c r="K20" s="8">
        <v>421</v>
      </c>
      <c r="L20" s="8">
        <v>430</v>
      </c>
      <c r="M20" s="8">
        <v>430</v>
      </c>
      <c r="N20" s="8">
        <v>443</v>
      </c>
      <c r="O20" s="8">
        <v>446</v>
      </c>
      <c r="P20" s="8">
        <v>437</v>
      </c>
      <c r="Q20" s="8">
        <v>451</v>
      </c>
      <c r="R20" s="8">
        <v>466</v>
      </c>
      <c r="S20" s="8">
        <v>496</v>
      </c>
      <c r="T20" s="8">
        <v>533</v>
      </c>
      <c r="U20" s="8">
        <v>534</v>
      </c>
      <c r="V20" s="8">
        <v>535</v>
      </c>
      <c r="W20" s="8">
        <v>522</v>
      </c>
      <c r="X20" s="8">
        <v>491</v>
      </c>
      <c r="Y20" s="8">
        <v>452</v>
      </c>
      <c r="Z20" s="8">
        <v>435</v>
      </c>
      <c r="AA20" s="8">
        <v>413</v>
      </c>
      <c r="AB20" s="8">
        <v>375</v>
      </c>
      <c r="AC20" s="8">
        <v>399</v>
      </c>
      <c r="AD20" s="8">
        <v>389</v>
      </c>
      <c r="AE20" s="8">
        <v>402</v>
      </c>
      <c r="AF20" s="8">
        <v>401</v>
      </c>
      <c r="AG20" s="8">
        <v>439</v>
      </c>
      <c r="AH20" s="8">
        <v>442</v>
      </c>
      <c r="AI20" s="8">
        <v>450</v>
      </c>
      <c r="AJ20" s="8">
        <v>438</v>
      </c>
      <c r="AK20" s="8">
        <v>440</v>
      </c>
      <c r="AL20" s="8">
        <v>440</v>
      </c>
      <c r="AM20" s="8">
        <v>446</v>
      </c>
      <c r="AN20" s="8">
        <v>451</v>
      </c>
      <c r="AO20" s="8">
        <v>446</v>
      </c>
      <c r="AP20" s="8">
        <v>447</v>
      </c>
      <c r="AQ20" s="8">
        <v>438</v>
      </c>
      <c r="AR20" s="8">
        <v>436</v>
      </c>
      <c r="AS20" s="8">
        <v>446</v>
      </c>
      <c r="AT20" s="8">
        <v>450</v>
      </c>
      <c r="AU20" s="8">
        <v>438</v>
      </c>
      <c r="AV20" s="8">
        <v>443</v>
      </c>
      <c r="AW20" s="8">
        <v>459</v>
      </c>
      <c r="AX20" s="8">
        <v>470</v>
      </c>
      <c r="AY20" s="8">
        <v>488</v>
      </c>
      <c r="AZ20" s="8">
        <v>509</v>
      </c>
      <c r="BA20" s="8">
        <v>494</v>
      </c>
      <c r="BB20" s="8">
        <v>508</v>
      </c>
      <c r="BC20" s="8">
        <v>523</v>
      </c>
      <c r="BD20" s="8">
        <v>514</v>
      </c>
      <c r="BE20" s="8">
        <v>547</v>
      </c>
      <c r="BF20" s="8">
        <v>555</v>
      </c>
      <c r="BG20" s="8">
        <v>551</v>
      </c>
      <c r="BH20" s="8">
        <v>564</v>
      </c>
    </row>
    <row r="21" spans="1:60" s="2" customFormat="1" x14ac:dyDescent="0.2">
      <c r="A21" s="9" t="s">
        <v>0</v>
      </c>
      <c r="B21" s="10">
        <v>5157</v>
      </c>
      <c r="C21" s="10">
        <v>4916</v>
      </c>
      <c r="D21" s="10">
        <v>4678</v>
      </c>
      <c r="E21" s="10">
        <v>4475</v>
      </c>
      <c r="F21" s="10">
        <v>4274</v>
      </c>
      <c r="G21" s="10">
        <v>4168</v>
      </c>
      <c r="H21" s="10">
        <v>4147</v>
      </c>
      <c r="I21" s="10">
        <v>4228</v>
      </c>
      <c r="J21" s="10">
        <v>4218</v>
      </c>
      <c r="K21" s="10">
        <v>4269</v>
      </c>
      <c r="L21" s="10">
        <v>4379</v>
      </c>
      <c r="M21" s="10">
        <v>4410</v>
      </c>
      <c r="N21" s="10">
        <v>4426</v>
      </c>
      <c r="O21" s="10">
        <v>4484</v>
      </c>
      <c r="P21" s="10">
        <v>4500</v>
      </c>
      <c r="Q21" s="10">
        <v>4695</v>
      </c>
      <c r="R21" s="10">
        <v>4835</v>
      </c>
      <c r="S21" s="10">
        <v>5050</v>
      </c>
      <c r="T21" s="10">
        <v>5320</v>
      </c>
      <c r="U21" s="10">
        <v>5369</v>
      </c>
      <c r="V21" s="10">
        <v>5337</v>
      </c>
      <c r="W21" s="10">
        <v>5201</v>
      </c>
      <c r="X21" s="10">
        <v>4966</v>
      </c>
      <c r="Y21" s="10">
        <v>4761</v>
      </c>
      <c r="Z21" s="10">
        <v>4590</v>
      </c>
      <c r="AA21" s="10">
        <v>4490</v>
      </c>
      <c r="AB21" s="10">
        <v>4297</v>
      </c>
      <c r="AC21" s="10">
        <v>4272</v>
      </c>
      <c r="AD21" s="10">
        <v>4291</v>
      </c>
      <c r="AE21" s="10">
        <v>4377</v>
      </c>
      <c r="AF21" s="10">
        <v>4520</v>
      </c>
      <c r="AG21" s="10">
        <v>4644</v>
      </c>
      <c r="AH21" s="10">
        <v>4763</v>
      </c>
      <c r="AI21" s="10">
        <v>4985</v>
      </c>
      <c r="AJ21" s="10">
        <v>5113</v>
      </c>
      <c r="AK21" s="10">
        <v>5197</v>
      </c>
      <c r="AL21" s="10">
        <v>5249</v>
      </c>
      <c r="AM21" s="10">
        <v>5275</v>
      </c>
      <c r="AN21" s="10">
        <v>5273</v>
      </c>
      <c r="AO21" s="10">
        <v>5275</v>
      </c>
      <c r="AP21" s="10">
        <v>5283</v>
      </c>
      <c r="AQ21" s="10">
        <v>5317</v>
      </c>
      <c r="AR21" s="10">
        <v>5396</v>
      </c>
      <c r="AS21" s="10">
        <v>5478</v>
      </c>
      <c r="AT21" s="10">
        <v>5468</v>
      </c>
      <c r="AU21" s="10">
        <v>5468</v>
      </c>
      <c r="AV21" s="10">
        <v>5508</v>
      </c>
      <c r="AW21" s="10">
        <v>5589</v>
      </c>
      <c r="AX21" s="10">
        <v>5647</v>
      </c>
      <c r="AY21" s="10">
        <v>5741</v>
      </c>
      <c r="AZ21" s="10">
        <v>5842</v>
      </c>
      <c r="BA21" s="10">
        <v>5913</v>
      </c>
      <c r="BB21" s="10">
        <v>5983</v>
      </c>
      <c r="BC21" s="10">
        <v>6114</v>
      </c>
      <c r="BD21" s="10">
        <v>6127</v>
      </c>
      <c r="BE21" s="10">
        <v>6192</v>
      </c>
      <c r="BF21" s="10">
        <v>6298</v>
      </c>
      <c r="BG21" s="10">
        <v>6327</v>
      </c>
      <c r="BH21" s="10">
        <v>6355</v>
      </c>
    </row>
  </sheetData>
  <phoneticPr fontId="1" type="noConversion"/>
  <hyperlinks>
    <hyperlink ref="A2" location="Sommaire!A1" display="Retour au menu &quot;Exploitation des films&quot;" xr:uid="{00000000-0004-0000-0400-000000000000}"/>
  </hyperlink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BH21"/>
  <sheetViews>
    <sheetView workbookViewId="0">
      <pane xSplit="1" ySplit="7" topLeftCell="B8" activePane="bottomRight" state="frozen"/>
      <selection pane="topRight"/>
      <selection pane="bottomLeft"/>
      <selection pane="bottomRight" activeCell="B8" sqref="B8"/>
    </sheetView>
  </sheetViews>
  <sheetFormatPr baseColWidth="10" defaultColWidth="5.5703125" defaultRowHeight="12" x14ac:dyDescent="0.2"/>
  <cols>
    <col min="1" max="1" width="28.85546875" style="1" bestFit="1" customWidth="1"/>
    <col min="2" max="26" width="8.85546875" style="1" bestFit="1" customWidth="1"/>
    <col min="27" max="34" width="7.42578125" style="1" bestFit="1" customWidth="1"/>
    <col min="35" max="38" width="8.85546875" style="1" bestFit="1" customWidth="1"/>
    <col min="39" max="51" width="8.85546875" style="4" bestFit="1" customWidth="1"/>
    <col min="52" max="60" width="8.85546875" style="1" bestFit="1" customWidth="1"/>
    <col min="61"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row>
    <row r="3" spans="1:60" s="36" customFormat="1" ht="12.75" x14ac:dyDescent="0.2">
      <c r="AM3" s="37"/>
      <c r="AN3" s="37"/>
      <c r="AO3" s="37"/>
      <c r="AP3" s="37"/>
      <c r="AQ3" s="37"/>
      <c r="AR3" s="37"/>
      <c r="AS3" s="37"/>
      <c r="AT3" s="37"/>
      <c r="AU3" s="37"/>
      <c r="AV3" s="37"/>
      <c r="AW3" s="37"/>
      <c r="AX3" s="37"/>
      <c r="AY3" s="37"/>
      <c r="AZ3" s="37"/>
      <c r="BA3" s="37"/>
      <c r="BB3" s="37"/>
      <c r="BC3" s="37"/>
      <c r="BD3" s="37"/>
      <c r="BE3" s="37"/>
    </row>
    <row r="4" spans="1:60" s="36" customFormat="1" ht="12.75" x14ac:dyDescent="0.2">
      <c r="AM4" s="37"/>
      <c r="AN4" s="37"/>
      <c r="AO4" s="37"/>
      <c r="AP4" s="37"/>
      <c r="AQ4" s="37"/>
      <c r="AR4" s="37"/>
      <c r="AS4" s="37"/>
      <c r="AT4" s="37"/>
      <c r="AU4" s="37"/>
      <c r="AV4" s="37"/>
      <c r="AW4" s="37"/>
      <c r="AX4" s="37"/>
      <c r="AY4" s="37"/>
      <c r="AZ4" s="37"/>
      <c r="BA4" s="37"/>
      <c r="BB4" s="37"/>
      <c r="BC4" s="37"/>
      <c r="BD4" s="37"/>
      <c r="BE4" s="37"/>
    </row>
    <row r="5" spans="1:60" ht="12.75" x14ac:dyDescent="0.2">
      <c r="A5" s="3" t="s">
        <v>15</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20"/>
      <c r="B7" s="21">
        <v>1966</v>
      </c>
      <c r="C7" s="21">
        <v>1967</v>
      </c>
      <c r="D7" s="21">
        <v>1968</v>
      </c>
      <c r="E7" s="21">
        <v>1969</v>
      </c>
      <c r="F7" s="21">
        <v>1970</v>
      </c>
      <c r="G7" s="21">
        <v>1971</v>
      </c>
      <c r="H7" s="21">
        <v>1972</v>
      </c>
      <c r="I7" s="21">
        <v>1973</v>
      </c>
      <c r="J7" s="21">
        <v>1974</v>
      </c>
      <c r="K7" s="21">
        <v>1975</v>
      </c>
      <c r="L7" s="21">
        <v>1976</v>
      </c>
      <c r="M7" s="21">
        <v>1977</v>
      </c>
      <c r="N7" s="21">
        <v>1978</v>
      </c>
      <c r="O7" s="21">
        <v>1979</v>
      </c>
      <c r="P7" s="21">
        <v>1980</v>
      </c>
      <c r="Q7" s="21">
        <v>1981</v>
      </c>
      <c r="R7" s="21">
        <v>1982</v>
      </c>
      <c r="S7" s="21">
        <v>1983</v>
      </c>
      <c r="T7" s="21">
        <v>1984</v>
      </c>
      <c r="U7" s="21">
        <v>1985</v>
      </c>
      <c r="V7" s="21">
        <v>1986</v>
      </c>
      <c r="W7" s="21">
        <v>1987</v>
      </c>
      <c r="X7" s="21">
        <v>1988</v>
      </c>
      <c r="Y7" s="21">
        <v>1989</v>
      </c>
      <c r="Z7" s="21">
        <v>1990</v>
      </c>
      <c r="AA7" s="21">
        <v>1991</v>
      </c>
      <c r="AB7" s="21">
        <v>1992</v>
      </c>
      <c r="AC7" s="21">
        <v>1993</v>
      </c>
      <c r="AD7" s="21">
        <v>1994</v>
      </c>
      <c r="AE7" s="21">
        <v>1995</v>
      </c>
      <c r="AF7" s="21">
        <v>1996</v>
      </c>
      <c r="AG7" s="21">
        <v>1997</v>
      </c>
      <c r="AH7" s="21">
        <v>1998</v>
      </c>
      <c r="AI7" s="21">
        <v>1999</v>
      </c>
      <c r="AJ7" s="21">
        <v>2000</v>
      </c>
      <c r="AK7" s="21">
        <v>2001</v>
      </c>
      <c r="AL7" s="21">
        <v>2002</v>
      </c>
      <c r="AM7" s="21">
        <v>2003</v>
      </c>
      <c r="AN7" s="21">
        <v>2004</v>
      </c>
      <c r="AO7" s="21">
        <v>2005</v>
      </c>
      <c r="AP7" s="21">
        <v>2006</v>
      </c>
      <c r="AQ7" s="21">
        <v>2007</v>
      </c>
      <c r="AR7" s="21">
        <v>2008</v>
      </c>
      <c r="AS7" s="21">
        <v>2009</v>
      </c>
      <c r="AT7" s="21">
        <v>2010</v>
      </c>
      <c r="AU7" s="21">
        <v>2011</v>
      </c>
      <c r="AV7" s="21">
        <v>2012</v>
      </c>
      <c r="AW7" s="21">
        <v>2013</v>
      </c>
      <c r="AX7" s="21">
        <v>2014</v>
      </c>
      <c r="AY7" s="21">
        <v>2015</v>
      </c>
      <c r="AZ7" s="21">
        <v>2016</v>
      </c>
      <c r="BA7" s="21">
        <v>2017</v>
      </c>
      <c r="BB7" s="21">
        <v>2018</v>
      </c>
      <c r="BC7" s="21">
        <v>2019</v>
      </c>
      <c r="BD7" s="21">
        <v>2020</v>
      </c>
      <c r="BE7" s="21">
        <v>2021</v>
      </c>
      <c r="BF7" s="21">
        <v>2022</v>
      </c>
      <c r="BG7" s="21">
        <v>2023</v>
      </c>
      <c r="BH7" s="21">
        <v>2024</v>
      </c>
    </row>
    <row r="8" spans="1:60" x14ac:dyDescent="0.2">
      <c r="A8" s="22" t="s">
        <v>72</v>
      </c>
      <c r="B8" s="23">
        <v>252759</v>
      </c>
      <c r="C8" s="23">
        <v>244198</v>
      </c>
      <c r="D8" s="23">
        <v>237316</v>
      </c>
      <c r="E8" s="23">
        <v>232259</v>
      </c>
      <c r="F8" s="23">
        <v>220107</v>
      </c>
      <c r="G8" s="23">
        <v>207457</v>
      </c>
      <c r="H8" s="23">
        <v>199148</v>
      </c>
      <c r="I8" s="23">
        <v>197696</v>
      </c>
      <c r="J8" s="23">
        <v>194290</v>
      </c>
      <c r="K8" s="23">
        <v>194004</v>
      </c>
      <c r="L8" s="23">
        <v>185883</v>
      </c>
      <c r="M8" s="23">
        <v>178148</v>
      </c>
      <c r="N8" s="23">
        <v>169086</v>
      </c>
      <c r="O8" s="23">
        <v>162140</v>
      </c>
      <c r="P8" s="23">
        <v>159098</v>
      </c>
      <c r="Q8" s="23">
        <v>159281</v>
      </c>
      <c r="R8" s="23">
        <v>163698</v>
      </c>
      <c r="S8" s="23">
        <v>164113</v>
      </c>
      <c r="T8" s="23">
        <v>163647</v>
      </c>
      <c r="U8" s="23">
        <v>161368</v>
      </c>
      <c r="V8" s="23">
        <v>157166</v>
      </c>
      <c r="W8" s="23">
        <v>150376</v>
      </c>
      <c r="X8" s="23">
        <v>144649</v>
      </c>
      <c r="Y8" s="23">
        <v>139992</v>
      </c>
      <c r="Z8" s="23">
        <v>134699</v>
      </c>
      <c r="AA8" s="23">
        <v>131002</v>
      </c>
      <c r="AB8" s="23">
        <v>122219</v>
      </c>
      <c r="AC8" s="23">
        <v>120906</v>
      </c>
      <c r="AD8" s="23">
        <v>119541</v>
      </c>
      <c r="AE8" s="23">
        <v>121694</v>
      </c>
      <c r="AF8" s="23">
        <v>115060</v>
      </c>
      <c r="AG8" s="23">
        <v>123633</v>
      </c>
      <c r="AH8" s="23">
        <v>121874</v>
      </c>
      <c r="AI8" s="23">
        <v>123578</v>
      </c>
      <c r="AJ8" s="23">
        <v>133234</v>
      </c>
      <c r="AK8" s="23">
        <v>136517</v>
      </c>
      <c r="AL8" s="23">
        <v>137481</v>
      </c>
      <c r="AM8" s="23">
        <v>136981</v>
      </c>
      <c r="AN8" s="23">
        <v>131679</v>
      </c>
      <c r="AO8" s="23">
        <v>126989</v>
      </c>
      <c r="AP8" s="23">
        <v>131042</v>
      </c>
      <c r="AQ8" s="23">
        <v>132149</v>
      </c>
      <c r="AR8" s="23">
        <v>135117</v>
      </c>
      <c r="AS8" s="23">
        <v>138124</v>
      </c>
      <c r="AT8" s="23">
        <v>136512</v>
      </c>
      <c r="AU8" s="23">
        <v>137796</v>
      </c>
      <c r="AV8" s="23">
        <v>140756</v>
      </c>
      <c r="AW8" s="23">
        <v>139280</v>
      </c>
      <c r="AX8" s="23">
        <v>138815</v>
      </c>
      <c r="AY8" s="23">
        <v>140718</v>
      </c>
      <c r="AZ8" s="23">
        <v>141183</v>
      </c>
      <c r="BA8" s="23">
        <v>145660</v>
      </c>
      <c r="BB8" s="23">
        <v>145523</v>
      </c>
      <c r="BC8" s="23">
        <v>144645</v>
      </c>
      <c r="BD8" s="23">
        <v>144025</v>
      </c>
      <c r="BE8" s="23">
        <v>144296</v>
      </c>
      <c r="BF8" s="23">
        <v>146365</v>
      </c>
      <c r="BG8" s="23">
        <v>147116</v>
      </c>
      <c r="BH8" s="23">
        <v>145885</v>
      </c>
    </row>
    <row r="9" spans="1:60" x14ac:dyDescent="0.2">
      <c r="A9" s="22" t="s">
        <v>73</v>
      </c>
      <c r="B9" s="23">
        <v>105681</v>
      </c>
      <c r="C9" s="23">
        <v>100547</v>
      </c>
      <c r="D9" s="23">
        <v>97213</v>
      </c>
      <c r="E9" s="23">
        <v>93126</v>
      </c>
      <c r="F9" s="23">
        <v>92150</v>
      </c>
      <c r="G9" s="23">
        <v>88840</v>
      </c>
      <c r="H9" s="23">
        <v>89972</v>
      </c>
      <c r="I9" s="23">
        <v>85494</v>
      </c>
      <c r="J9" s="23">
        <v>83116</v>
      </c>
      <c r="K9" s="23">
        <v>81105</v>
      </c>
      <c r="L9" s="23">
        <v>79192</v>
      </c>
      <c r="M9" s="23">
        <v>74900</v>
      </c>
      <c r="N9" s="23">
        <v>71477</v>
      </c>
      <c r="O9" s="23">
        <v>68724</v>
      </c>
      <c r="P9" s="23">
        <v>66552</v>
      </c>
      <c r="Q9" s="23">
        <v>67640</v>
      </c>
      <c r="R9" s="23">
        <v>67599</v>
      </c>
      <c r="S9" s="23">
        <v>68190</v>
      </c>
      <c r="T9" s="23">
        <v>67659</v>
      </c>
      <c r="U9" s="23">
        <v>65821</v>
      </c>
      <c r="V9" s="23">
        <v>64881</v>
      </c>
      <c r="W9" s="23">
        <v>60213</v>
      </c>
      <c r="X9" s="23">
        <v>56026</v>
      </c>
      <c r="Y9" s="23">
        <v>53205</v>
      </c>
      <c r="Z9" s="23">
        <v>50649</v>
      </c>
      <c r="AA9" s="23">
        <v>48300</v>
      </c>
      <c r="AB9" s="23">
        <v>43434</v>
      </c>
      <c r="AC9" s="23">
        <v>43016</v>
      </c>
      <c r="AD9" s="23">
        <v>42329</v>
      </c>
      <c r="AE9" s="23">
        <v>42845</v>
      </c>
      <c r="AF9" s="23">
        <v>39961</v>
      </c>
      <c r="AG9" s="23">
        <v>39742</v>
      </c>
      <c r="AH9" s="23">
        <v>39413</v>
      </c>
      <c r="AI9" s="23">
        <v>43156</v>
      </c>
      <c r="AJ9" s="23">
        <v>45585</v>
      </c>
      <c r="AK9" s="23">
        <v>44718</v>
      </c>
      <c r="AL9" s="23">
        <v>47696</v>
      </c>
      <c r="AM9" s="23">
        <v>44920</v>
      </c>
      <c r="AN9" s="23">
        <v>44651</v>
      </c>
      <c r="AO9" s="23">
        <v>46466</v>
      </c>
      <c r="AP9" s="23">
        <v>43689</v>
      </c>
      <c r="AQ9" s="23">
        <v>44900</v>
      </c>
      <c r="AR9" s="23">
        <v>45505</v>
      </c>
      <c r="AS9" s="23">
        <v>45505</v>
      </c>
      <c r="AT9" s="23">
        <v>44756</v>
      </c>
      <c r="AU9" s="23">
        <v>45560</v>
      </c>
      <c r="AV9" s="23">
        <v>45799</v>
      </c>
      <c r="AW9" s="23">
        <v>47136</v>
      </c>
      <c r="AX9" s="23">
        <v>45130</v>
      </c>
      <c r="AY9" s="23">
        <v>46931</v>
      </c>
      <c r="AZ9" s="23">
        <v>46006</v>
      </c>
      <c r="BA9" s="23">
        <v>46160</v>
      </c>
      <c r="BB9" s="23">
        <v>47857</v>
      </c>
      <c r="BC9" s="23">
        <v>48107</v>
      </c>
      <c r="BD9" s="23">
        <v>47933</v>
      </c>
      <c r="BE9" s="23">
        <v>46418</v>
      </c>
      <c r="BF9" s="23">
        <v>47722</v>
      </c>
      <c r="BG9" s="23">
        <v>48081</v>
      </c>
      <c r="BH9" s="23">
        <v>47131</v>
      </c>
    </row>
    <row r="10" spans="1:60" x14ac:dyDescent="0.2">
      <c r="A10" s="22" t="s">
        <v>1</v>
      </c>
      <c r="B10" s="23">
        <v>104157</v>
      </c>
      <c r="C10" s="23">
        <v>102237</v>
      </c>
      <c r="D10" s="23">
        <v>97493</v>
      </c>
      <c r="E10" s="23">
        <v>97085</v>
      </c>
      <c r="F10" s="23">
        <v>96149</v>
      </c>
      <c r="G10" s="23">
        <v>89585</v>
      </c>
      <c r="H10" s="23">
        <v>87683</v>
      </c>
      <c r="I10" s="23">
        <v>87302</v>
      </c>
      <c r="J10" s="23">
        <v>86159</v>
      </c>
      <c r="K10" s="23">
        <v>86280</v>
      </c>
      <c r="L10" s="23">
        <v>81789</v>
      </c>
      <c r="M10" s="23">
        <v>80588</v>
      </c>
      <c r="N10" s="23">
        <v>77936</v>
      </c>
      <c r="O10" s="23">
        <v>76601</v>
      </c>
      <c r="P10" s="23">
        <v>74656</v>
      </c>
      <c r="Q10" s="23">
        <v>71051</v>
      </c>
      <c r="R10" s="23">
        <v>72748</v>
      </c>
      <c r="S10" s="23">
        <v>70935</v>
      </c>
      <c r="T10" s="23">
        <v>71176</v>
      </c>
      <c r="U10" s="23">
        <v>64632</v>
      </c>
      <c r="V10" s="23">
        <v>68888</v>
      </c>
      <c r="W10" s="23">
        <v>63620</v>
      </c>
      <c r="X10" s="23">
        <v>61521</v>
      </c>
      <c r="Y10" s="23">
        <v>58075</v>
      </c>
      <c r="Z10" s="23">
        <v>54383</v>
      </c>
      <c r="AA10" s="23">
        <v>53513</v>
      </c>
      <c r="AB10" s="23">
        <v>50768</v>
      </c>
      <c r="AC10" s="23">
        <v>50429</v>
      </c>
      <c r="AD10" s="23">
        <v>51069</v>
      </c>
      <c r="AE10" s="23">
        <v>51064</v>
      </c>
      <c r="AF10" s="23">
        <v>51249</v>
      </c>
      <c r="AG10" s="23">
        <v>50372</v>
      </c>
      <c r="AH10" s="23">
        <v>50365</v>
      </c>
      <c r="AI10" s="23">
        <v>55031</v>
      </c>
      <c r="AJ10" s="23">
        <v>54528</v>
      </c>
      <c r="AK10" s="23">
        <v>54528</v>
      </c>
      <c r="AL10" s="23">
        <v>51410</v>
      </c>
      <c r="AM10" s="23">
        <v>53294</v>
      </c>
      <c r="AN10" s="23">
        <v>54676</v>
      </c>
      <c r="AO10" s="23">
        <v>55762</v>
      </c>
      <c r="AP10" s="23">
        <v>54264</v>
      </c>
      <c r="AQ10" s="23">
        <v>54377</v>
      </c>
      <c r="AR10" s="23">
        <v>56801</v>
      </c>
      <c r="AS10" s="23">
        <v>56587</v>
      </c>
      <c r="AT10" s="23">
        <v>55876</v>
      </c>
      <c r="AU10" s="23">
        <v>56528</v>
      </c>
      <c r="AV10" s="23">
        <v>56678</v>
      </c>
      <c r="AW10" s="23">
        <v>56545</v>
      </c>
      <c r="AX10" s="23">
        <v>56757</v>
      </c>
      <c r="AY10" s="23">
        <v>57670</v>
      </c>
      <c r="AZ10" s="23">
        <v>57979</v>
      </c>
      <c r="BA10" s="23">
        <v>57635</v>
      </c>
      <c r="BB10" s="23">
        <v>58228</v>
      </c>
      <c r="BC10" s="23">
        <v>60887</v>
      </c>
      <c r="BD10" s="23">
        <v>60743</v>
      </c>
      <c r="BE10" s="23">
        <v>59722</v>
      </c>
      <c r="BF10" s="23">
        <v>60466</v>
      </c>
      <c r="BG10" s="23">
        <v>60585</v>
      </c>
      <c r="BH10" s="23">
        <v>60644</v>
      </c>
    </row>
    <row r="11" spans="1:60" x14ac:dyDescent="0.2">
      <c r="A11" s="22" t="s">
        <v>74</v>
      </c>
      <c r="B11" s="23">
        <v>74674</v>
      </c>
      <c r="C11" s="23">
        <v>71278</v>
      </c>
      <c r="D11" s="23">
        <v>70768</v>
      </c>
      <c r="E11" s="23">
        <v>69226</v>
      </c>
      <c r="F11" s="23">
        <v>66585</v>
      </c>
      <c r="G11" s="23">
        <v>64308</v>
      </c>
      <c r="H11" s="23">
        <v>63730</v>
      </c>
      <c r="I11" s="23">
        <v>62010</v>
      </c>
      <c r="J11" s="23">
        <v>59100</v>
      </c>
      <c r="K11" s="23">
        <v>57819</v>
      </c>
      <c r="L11" s="23">
        <v>57342</v>
      </c>
      <c r="M11" s="23">
        <v>56380</v>
      </c>
      <c r="N11" s="23">
        <v>55842</v>
      </c>
      <c r="O11" s="23">
        <v>53417</v>
      </c>
      <c r="P11" s="23">
        <v>54116</v>
      </c>
      <c r="Q11" s="23">
        <v>49305</v>
      </c>
      <c r="R11" s="23">
        <v>45573</v>
      </c>
      <c r="S11" s="23">
        <v>47429</v>
      </c>
      <c r="T11" s="23">
        <v>47405</v>
      </c>
      <c r="U11" s="23">
        <v>47049</v>
      </c>
      <c r="V11" s="23">
        <v>43667</v>
      </c>
      <c r="W11" s="23">
        <v>40460</v>
      </c>
      <c r="X11" s="23">
        <v>40570</v>
      </c>
      <c r="Y11" s="23">
        <v>38595</v>
      </c>
      <c r="Z11" s="23">
        <v>34869</v>
      </c>
      <c r="AA11" s="23">
        <v>32656</v>
      </c>
      <c r="AB11" s="23">
        <v>30498</v>
      </c>
      <c r="AC11" s="23">
        <v>30498</v>
      </c>
      <c r="AD11" s="23">
        <v>30485</v>
      </c>
      <c r="AE11" s="23">
        <v>30879</v>
      </c>
      <c r="AF11" s="23">
        <v>31906</v>
      </c>
      <c r="AG11" s="23">
        <v>30599</v>
      </c>
      <c r="AH11" s="23">
        <v>33570</v>
      </c>
      <c r="AI11" s="23">
        <v>30920</v>
      </c>
      <c r="AJ11" s="23">
        <v>33261</v>
      </c>
      <c r="AK11" s="23">
        <v>32801</v>
      </c>
      <c r="AL11" s="23">
        <v>32847</v>
      </c>
      <c r="AM11" s="23">
        <v>34360</v>
      </c>
      <c r="AN11" s="23">
        <v>30983</v>
      </c>
      <c r="AO11" s="23">
        <v>31873</v>
      </c>
      <c r="AP11" s="23">
        <v>32246</v>
      </c>
      <c r="AQ11" s="23">
        <v>32215</v>
      </c>
      <c r="AR11" s="23">
        <v>37953</v>
      </c>
      <c r="AS11" s="23">
        <v>36732</v>
      </c>
      <c r="AT11" s="23">
        <v>37235</v>
      </c>
      <c r="AU11" s="23">
        <v>37414</v>
      </c>
      <c r="AV11" s="23">
        <v>37414</v>
      </c>
      <c r="AW11" s="23">
        <v>37801</v>
      </c>
      <c r="AX11" s="23">
        <v>37333</v>
      </c>
      <c r="AY11" s="23">
        <v>37653</v>
      </c>
      <c r="AZ11" s="23">
        <v>37847</v>
      </c>
      <c r="BA11" s="23">
        <v>37284</v>
      </c>
      <c r="BB11" s="23">
        <v>39295</v>
      </c>
      <c r="BC11" s="23">
        <v>39603</v>
      </c>
      <c r="BD11" s="23">
        <v>39497</v>
      </c>
      <c r="BE11" s="23">
        <v>40747</v>
      </c>
      <c r="BF11" s="23">
        <v>40742</v>
      </c>
      <c r="BG11" s="23">
        <v>41099</v>
      </c>
      <c r="BH11" s="23">
        <v>40651</v>
      </c>
    </row>
    <row r="12" spans="1:60" x14ac:dyDescent="0.2">
      <c r="A12" s="22" t="s">
        <v>5</v>
      </c>
      <c r="B12" s="23">
        <v>6661</v>
      </c>
      <c r="C12" s="23">
        <v>6667</v>
      </c>
      <c r="D12" s="23">
        <v>7002</v>
      </c>
      <c r="E12" s="23">
        <v>7002</v>
      </c>
      <c r="F12" s="23">
        <v>7012</v>
      </c>
      <c r="G12" s="23">
        <v>6958</v>
      </c>
      <c r="H12" s="23">
        <v>7906</v>
      </c>
      <c r="I12" s="23">
        <v>7211</v>
      </c>
      <c r="J12" s="23">
        <v>7211</v>
      </c>
      <c r="K12" s="23">
        <v>7298</v>
      </c>
      <c r="L12" s="23">
        <v>7925</v>
      </c>
      <c r="M12" s="23">
        <v>8118</v>
      </c>
      <c r="N12" s="23">
        <v>8028</v>
      </c>
      <c r="O12" s="23">
        <v>8478</v>
      </c>
      <c r="P12" s="23">
        <v>7814</v>
      </c>
      <c r="Q12" s="23">
        <v>8487</v>
      </c>
      <c r="R12" s="23">
        <v>9207</v>
      </c>
      <c r="S12" s="23">
        <v>9886</v>
      </c>
      <c r="T12" s="23">
        <v>9418</v>
      </c>
      <c r="U12" s="23">
        <v>9467</v>
      </c>
      <c r="V12" s="23">
        <v>9867</v>
      </c>
      <c r="W12" s="23">
        <v>9982</v>
      </c>
      <c r="X12" s="23">
        <v>9535</v>
      </c>
      <c r="Y12" s="23">
        <v>9305</v>
      </c>
      <c r="Z12" s="23">
        <v>9225</v>
      </c>
      <c r="AA12" s="23">
        <v>9625</v>
      </c>
      <c r="AB12" s="23">
        <v>8352</v>
      </c>
      <c r="AC12" s="23">
        <v>8252</v>
      </c>
      <c r="AD12" s="23">
        <v>8050</v>
      </c>
      <c r="AE12" s="23">
        <v>8344</v>
      </c>
      <c r="AF12" s="23">
        <v>7666</v>
      </c>
      <c r="AG12" s="23">
        <v>7840</v>
      </c>
      <c r="AH12" s="23">
        <v>7840</v>
      </c>
      <c r="AI12" s="23">
        <v>7666</v>
      </c>
      <c r="AJ12" s="23">
        <v>7369</v>
      </c>
      <c r="AK12" s="23">
        <v>6619</v>
      </c>
      <c r="AL12" s="23">
        <v>7192</v>
      </c>
      <c r="AM12" s="23">
        <v>6892</v>
      </c>
      <c r="AN12" s="23">
        <v>7316</v>
      </c>
      <c r="AO12" s="23">
        <v>6497</v>
      </c>
      <c r="AP12" s="23">
        <v>6497</v>
      </c>
      <c r="AQ12" s="23">
        <v>6497</v>
      </c>
      <c r="AR12" s="23">
        <v>6725</v>
      </c>
      <c r="AS12" s="23">
        <v>7023</v>
      </c>
      <c r="AT12" s="23">
        <v>7023</v>
      </c>
      <c r="AU12" s="23">
        <v>6952</v>
      </c>
      <c r="AV12" s="23">
        <v>6208</v>
      </c>
      <c r="AW12" s="23">
        <v>6140</v>
      </c>
      <c r="AX12" s="23">
        <v>7587</v>
      </c>
      <c r="AY12" s="23">
        <v>7915</v>
      </c>
      <c r="AZ12" s="23">
        <v>8012</v>
      </c>
      <c r="BA12" s="23">
        <v>7276</v>
      </c>
      <c r="BB12" s="23">
        <v>6682</v>
      </c>
      <c r="BC12" s="23">
        <v>7301</v>
      </c>
      <c r="BD12" s="23">
        <v>6137</v>
      </c>
      <c r="BE12" s="23">
        <v>6682</v>
      </c>
      <c r="BF12" s="23">
        <v>6987</v>
      </c>
      <c r="BG12" s="23">
        <v>7384</v>
      </c>
      <c r="BH12" s="23">
        <v>7085</v>
      </c>
    </row>
    <row r="13" spans="1:60" x14ac:dyDescent="0.2">
      <c r="A13" s="22" t="s">
        <v>77</v>
      </c>
      <c r="B13" s="23">
        <v>250941</v>
      </c>
      <c r="C13" s="23">
        <v>239578</v>
      </c>
      <c r="D13" s="23">
        <v>232074</v>
      </c>
      <c r="E13" s="23">
        <v>217185</v>
      </c>
      <c r="F13" s="23">
        <v>199334</v>
      </c>
      <c r="G13" s="23">
        <v>184742</v>
      </c>
      <c r="H13" s="23">
        <v>171694</v>
      </c>
      <c r="I13" s="23">
        <v>165021</v>
      </c>
      <c r="J13" s="23">
        <v>158698</v>
      </c>
      <c r="K13" s="23">
        <v>152137</v>
      </c>
      <c r="L13" s="23">
        <v>147035</v>
      </c>
      <c r="M13" s="23">
        <v>136245</v>
      </c>
      <c r="N13" s="23">
        <v>126938</v>
      </c>
      <c r="O13" s="23">
        <v>122264</v>
      </c>
      <c r="P13" s="23">
        <v>117541</v>
      </c>
      <c r="Q13" s="23">
        <v>113894</v>
      </c>
      <c r="R13" s="23">
        <v>109296</v>
      </c>
      <c r="S13" s="23">
        <v>110339</v>
      </c>
      <c r="T13" s="23">
        <v>109695</v>
      </c>
      <c r="U13" s="23">
        <v>107426</v>
      </c>
      <c r="V13" s="23">
        <v>98727</v>
      </c>
      <c r="W13" s="23">
        <v>88932</v>
      </c>
      <c r="X13" s="23">
        <v>82457</v>
      </c>
      <c r="Y13" s="23">
        <v>79269</v>
      </c>
      <c r="Z13" s="23">
        <v>75010</v>
      </c>
      <c r="AA13" s="23">
        <v>72271</v>
      </c>
      <c r="AB13" s="23">
        <v>66754</v>
      </c>
      <c r="AC13" s="23">
        <v>61048</v>
      </c>
      <c r="AD13" s="23">
        <v>61402</v>
      </c>
      <c r="AE13" s="23">
        <v>66324</v>
      </c>
      <c r="AF13" s="23">
        <v>64651</v>
      </c>
      <c r="AG13" s="23">
        <v>66004</v>
      </c>
      <c r="AH13" s="23">
        <v>65812</v>
      </c>
      <c r="AI13" s="23">
        <v>76050</v>
      </c>
      <c r="AJ13" s="23">
        <v>83885</v>
      </c>
      <c r="AK13" s="23">
        <v>82317</v>
      </c>
      <c r="AL13" s="23">
        <v>82657</v>
      </c>
      <c r="AM13" s="23">
        <v>83180</v>
      </c>
      <c r="AN13" s="23">
        <v>82495</v>
      </c>
      <c r="AO13" s="23">
        <v>83859</v>
      </c>
      <c r="AP13" s="23">
        <v>85450</v>
      </c>
      <c r="AQ13" s="23">
        <v>85474</v>
      </c>
      <c r="AR13" s="23">
        <v>84856</v>
      </c>
      <c r="AS13" s="23">
        <v>85337</v>
      </c>
      <c r="AT13" s="23">
        <v>85045</v>
      </c>
      <c r="AU13" s="23">
        <v>86404</v>
      </c>
      <c r="AV13" s="23">
        <v>87458</v>
      </c>
      <c r="AW13" s="23">
        <v>87267</v>
      </c>
      <c r="AX13" s="23">
        <v>88003</v>
      </c>
      <c r="AY13" s="23">
        <v>88673</v>
      </c>
      <c r="AZ13" s="23">
        <v>89319</v>
      </c>
      <c r="BA13" s="23">
        <v>89646</v>
      </c>
      <c r="BB13" s="23">
        <v>88182</v>
      </c>
      <c r="BC13" s="23">
        <v>88088</v>
      </c>
      <c r="BD13" s="23">
        <v>88239</v>
      </c>
      <c r="BE13" s="23">
        <v>89823</v>
      </c>
      <c r="BF13" s="23">
        <v>91735</v>
      </c>
      <c r="BG13" s="23">
        <v>91926</v>
      </c>
      <c r="BH13" s="23">
        <v>91003</v>
      </c>
    </row>
    <row r="14" spans="1:60" x14ac:dyDescent="0.2">
      <c r="A14" s="22" t="s">
        <v>78</v>
      </c>
      <c r="B14" s="23">
        <v>316575</v>
      </c>
      <c r="C14" s="23">
        <v>289194</v>
      </c>
      <c r="D14" s="23">
        <v>260535</v>
      </c>
      <c r="E14" s="23">
        <v>243074</v>
      </c>
      <c r="F14" s="23">
        <v>227105</v>
      </c>
      <c r="G14" s="23">
        <v>213904</v>
      </c>
      <c r="H14" s="23">
        <v>205049</v>
      </c>
      <c r="I14" s="23">
        <v>197109</v>
      </c>
      <c r="J14" s="23">
        <v>190566</v>
      </c>
      <c r="K14" s="23">
        <v>185797</v>
      </c>
      <c r="L14" s="23">
        <v>177972</v>
      </c>
      <c r="M14" s="23">
        <v>159229</v>
      </c>
      <c r="N14" s="23">
        <v>144595</v>
      </c>
      <c r="O14" s="23">
        <v>131547</v>
      </c>
      <c r="P14" s="23">
        <v>120609</v>
      </c>
      <c r="Q14" s="23">
        <v>108377</v>
      </c>
      <c r="R14" s="23">
        <v>100871</v>
      </c>
      <c r="S14" s="23">
        <v>97916</v>
      </c>
      <c r="T14" s="23">
        <v>99314</v>
      </c>
      <c r="U14" s="23">
        <v>96276</v>
      </c>
      <c r="V14" s="23">
        <v>89807</v>
      </c>
      <c r="W14" s="23">
        <v>89467</v>
      </c>
      <c r="X14" s="23">
        <v>80723</v>
      </c>
      <c r="Y14" s="23">
        <v>76756</v>
      </c>
      <c r="Z14" s="23">
        <v>69931</v>
      </c>
      <c r="AA14" s="23">
        <v>67346</v>
      </c>
      <c r="AB14" s="23">
        <v>67500</v>
      </c>
      <c r="AC14" s="23">
        <v>67310</v>
      </c>
      <c r="AD14" s="23">
        <v>67410</v>
      </c>
      <c r="AE14" s="23">
        <v>68814</v>
      </c>
      <c r="AF14" s="23">
        <v>79512</v>
      </c>
      <c r="AG14" s="23">
        <v>77906</v>
      </c>
      <c r="AH14" s="23">
        <v>77229</v>
      </c>
      <c r="AI14" s="23">
        <v>82914</v>
      </c>
      <c r="AJ14" s="23">
        <v>85237</v>
      </c>
      <c r="AK14" s="23">
        <v>85848</v>
      </c>
      <c r="AL14" s="23">
        <v>85327</v>
      </c>
      <c r="AM14" s="23">
        <v>83742</v>
      </c>
      <c r="AN14" s="23">
        <v>82878</v>
      </c>
      <c r="AO14" s="23">
        <v>79007</v>
      </c>
      <c r="AP14" s="23">
        <v>79210</v>
      </c>
      <c r="AQ14" s="23">
        <v>79319</v>
      </c>
      <c r="AR14" s="23">
        <v>79472</v>
      </c>
      <c r="AS14" s="23">
        <v>80882</v>
      </c>
      <c r="AT14" s="23">
        <v>79089</v>
      </c>
      <c r="AU14" s="23">
        <v>79727</v>
      </c>
      <c r="AV14" s="23">
        <v>78775</v>
      </c>
      <c r="AW14" s="23">
        <v>80330</v>
      </c>
      <c r="AX14" s="23">
        <v>81867</v>
      </c>
      <c r="AY14" s="23">
        <v>83890</v>
      </c>
      <c r="AZ14" s="23">
        <v>84170</v>
      </c>
      <c r="BA14" s="23">
        <v>85488</v>
      </c>
      <c r="BB14" s="23">
        <v>84174</v>
      </c>
      <c r="BC14" s="23">
        <v>85040</v>
      </c>
      <c r="BD14" s="23">
        <v>85773</v>
      </c>
      <c r="BE14" s="23">
        <v>85806</v>
      </c>
      <c r="BF14" s="23">
        <v>86566</v>
      </c>
      <c r="BG14" s="23">
        <v>86288</v>
      </c>
      <c r="BH14" s="23">
        <v>85216</v>
      </c>
    </row>
    <row r="15" spans="1:60" x14ac:dyDescent="0.2">
      <c r="A15" s="22" t="s">
        <v>2</v>
      </c>
      <c r="B15" s="23">
        <v>421603</v>
      </c>
      <c r="C15" s="23">
        <v>392675</v>
      </c>
      <c r="D15" s="23">
        <v>382227</v>
      </c>
      <c r="E15" s="23">
        <v>365283</v>
      </c>
      <c r="F15" s="23">
        <v>351743</v>
      </c>
      <c r="G15" s="23">
        <v>332926</v>
      </c>
      <c r="H15" s="23">
        <v>319185</v>
      </c>
      <c r="I15" s="23">
        <v>310334</v>
      </c>
      <c r="J15" s="23">
        <v>301870</v>
      </c>
      <c r="K15" s="23">
        <v>292290</v>
      </c>
      <c r="L15" s="23">
        <v>274066</v>
      </c>
      <c r="M15" s="23">
        <v>258107</v>
      </c>
      <c r="N15" s="23">
        <v>247852</v>
      </c>
      <c r="O15" s="23">
        <v>244673</v>
      </c>
      <c r="P15" s="23">
        <v>233346</v>
      </c>
      <c r="Q15" s="23">
        <v>231151</v>
      </c>
      <c r="R15" s="23">
        <v>223690</v>
      </c>
      <c r="S15" s="23">
        <v>224257</v>
      </c>
      <c r="T15" s="23">
        <v>221700</v>
      </c>
      <c r="U15" s="23">
        <v>217968</v>
      </c>
      <c r="V15" s="23">
        <v>211337</v>
      </c>
      <c r="W15" s="23">
        <v>202314</v>
      </c>
      <c r="X15" s="23">
        <v>197381</v>
      </c>
      <c r="Y15" s="23">
        <v>189089</v>
      </c>
      <c r="Z15" s="23">
        <v>184365</v>
      </c>
      <c r="AA15" s="23">
        <v>181468</v>
      </c>
      <c r="AB15" s="23">
        <v>178963</v>
      </c>
      <c r="AC15" s="23">
        <v>175227</v>
      </c>
      <c r="AD15" s="23">
        <v>173319</v>
      </c>
      <c r="AE15" s="23">
        <v>172324</v>
      </c>
      <c r="AF15" s="23">
        <v>175463</v>
      </c>
      <c r="AG15" s="23">
        <v>178820</v>
      </c>
      <c r="AH15" s="23">
        <v>187708</v>
      </c>
      <c r="AI15" s="23">
        <v>190288</v>
      </c>
      <c r="AJ15" s="23">
        <v>187324</v>
      </c>
      <c r="AK15" s="23">
        <v>194197</v>
      </c>
      <c r="AL15" s="23">
        <v>202833</v>
      </c>
      <c r="AM15" s="23">
        <v>204390</v>
      </c>
      <c r="AN15" s="23">
        <v>209508</v>
      </c>
      <c r="AO15" s="23">
        <v>203580</v>
      </c>
      <c r="AP15" s="23">
        <v>202174</v>
      </c>
      <c r="AQ15" s="23">
        <v>200495</v>
      </c>
      <c r="AR15" s="23">
        <v>202343</v>
      </c>
      <c r="AS15" s="23">
        <v>204042</v>
      </c>
      <c r="AT15" s="23">
        <v>203630</v>
      </c>
      <c r="AU15" s="23">
        <v>203618</v>
      </c>
      <c r="AV15" s="23">
        <v>205414</v>
      </c>
      <c r="AW15" s="23">
        <v>212729</v>
      </c>
      <c r="AX15" s="23">
        <v>214842</v>
      </c>
      <c r="AY15" s="23">
        <v>214566</v>
      </c>
      <c r="AZ15" s="23">
        <v>221675</v>
      </c>
      <c r="BA15" s="23">
        <v>224123</v>
      </c>
      <c r="BB15" s="23">
        <v>227207</v>
      </c>
      <c r="BC15" s="23">
        <v>233359</v>
      </c>
      <c r="BD15" s="23">
        <v>230713</v>
      </c>
      <c r="BE15" s="23">
        <v>226749</v>
      </c>
      <c r="BF15" s="23">
        <v>229838</v>
      </c>
      <c r="BG15" s="23">
        <v>228385</v>
      </c>
      <c r="BH15" s="23">
        <v>223897</v>
      </c>
    </row>
    <row r="16" spans="1:60" x14ac:dyDescent="0.2">
      <c r="A16" s="22" t="s">
        <v>75</v>
      </c>
      <c r="B16" s="23">
        <v>129003</v>
      </c>
      <c r="C16" s="23">
        <v>126281</v>
      </c>
      <c r="D16" s="23">
        <v>124011</v>
      </c>
      <c r="E16" s="23">
        <v>116689</v>
      </c>
      <c r="F16" s="23">
        <v>110839</v>
      </c>
      <c r="G16" s="23">
        <v>108064</v>
      </c>
      <c r="H16" s="23">
        <v>102693</v>
      </c>
      <c r="I16" s="23">
        <v>98299</v>
      </c>
      <c r="J16" s="23">
        <v>95424</v>
      </c>
      <c r="K16" s="23">
        <v>93838</v>
      </c>
      <c r="L16" s="23">
        <v>93300</v>
      </c>
      <c r="M16" s="23">
        <v>88181</v>
      </c>
      <c r="N16" s="23">
        <v>83812</v>
      </c>
      <c r="O16" s="23">
        <v>84114</v>
      </c>
      <c r="P16" s="23">
        <v>77537</v>
      </c>
      <c r="Q16" s="23">
        <v>73921</v>
      </c>
      <c r="R16" s="23">
        <v>72911</v>
      </c>
      <c r="S16" s="23">
        <v>72110</v>
      </c>
      <c r="T16" s="23">
        <v>72219</v>
      </c>
      <c r="U16" s="23">
        <v>71378</v>
      </c>
      <c r="V16" s="23">
        <v>69543</v>
      </c>
      <c r="W16" s="23">
        <v>65708</v>
      </c>
      <c r="X16" s="23">
        <v>59274</v>
      </c>
      <c r="Y16" s="23">
        <v>55520</v>
      </c>
      <c r="Z16" s="23">
        <v>55367</v>
      </c>
      <c r="AA16" s="23">
        <v>53678</v>
      </c>
      <c r="AB16" s="23">
        <v>51726</v>
      </c>
      <c r="AC16" s="23">
        <v>50121</v>
      </c>
      <c r="AD16" s="23">
        <v>49558</v>
      </c>
      <c r="AE16" s="23">
        <v>50874</v>
      </c>
      <c r="AF16" s="23">
        <v>49605</v>
      </c>
      <c r="AG16" s="23">
        <v>49321</v>
      </c>
      <c r="AH16" s="23">
        <v>50801</v>
      </c>
      <c r="AI16" s="23">
        <v>57268</v>
      </c>
      <c r="AJ16" s="23">
        <v>59930</v>
      </c>
      <c r="AK16" s="23">
        <v>58368</v>
      </c>
      <c r="AL16" s="23">
        <v>58700</v>
      </c>
      <c r="AM16" s="23">
        <v>59016</v>
      </c>
      <c r="AN16" s="23">
        <v>59824</v>
      </c>
      <c r="AO16" s="23">
        <v>55417</v>
      </c>
      <c r="AP16" s="23">
        <v>55475</v>
      </c>
      <c r="AQ16" s="23">
        <v>55317</v>
      </c>
      <c r="AR16" s="23">
        <v>55517</v>
      </c>
      <c r="AS16" s="23">
        <v>61972</v>
      </c>
      <c r="AT16" s="23">
        <v>58603</v>
      </c>
      <c r="AU16" s="23">
        <v>58646</v>
      </c>
      <c r="AV16" s="23">
        <v>58199</v>
      </c>
      <c r="AW16" s="23">
        <v>57764</v>
      </c>
      <c r="AX16" s="23">
        <v>58014</v>
      </c>
      <c r="AY16" s="23">
        <v>58181</v>
      </c>
      <c r="AZ16" s="23">
        <v>57249</v>
      </c>
      <c r="BA16" s="23">
        <v>58950</v>
      </c>
      <c r="BB16" s="23">
        <v>59254</v>
      </c>
      <c r="BC16" s="23">
        <v>59448</v>
      </c>
      <c r="BD16" s="23">
        <v>59512</v>
      </c>
      <c r="BE16" s="23">
        <v>58507</v>
      </c>
      <c r="BF16" s="23">
        <v>59387</v>
      </c>
      <c r="BG16" s="23">
        <v>59120</v>
      </c>
      <c r="BH16" s="23">
        <v>58951</v>
      </c>
    </row>
    <row r="17" spans="1:60" x14ac:dyDescent="0.2">
      <c r="A17" s="22" t="s">
        <v>79</v>
      </c>
      <c r="B17" s="23">
        <v>229946</v>
      </c>
      <c r="C17" s="23">
        <v>222368</v>
      </c>
      <c r="D17" s="23">
        <v>211250</v>
      </c>
      <c r="E17" s="23">
        <v>204343</v>
      </c>
      <c r="F17" s="23">
        <v>196909</v>
      </c>
      <c r="G17" s="23">
        <v>191310</v>
      </c>
      <c r="H17" s="23">
        <v>185603</v>
      </c>
      <c r="I17" s="23">
        <v>182815</v>
      </c>
      <c r="J17" s="23">
        <v>176127</v>
      </c>
      <c r="K17" s="23">
        <v>168397</v>
      </c>
      <c r="L17" s="23">
        <v>158913</v>
      </c>
      <c r="M17" s="23">
        <v>158637</v>
      </c>
      <c r="N17" s="23">
        <v>153450</v>
      </c>
      <c r="O17" s="23">
        <v>149540</v>
      </c>
      <c r="P17" s="23">
        <v>145334</v>
      </c>
      <c r="Q17" s="23">
        <v>140366</v>
      </c>
      <c r="R17" s="23">
        <v>138064</v>
      </c>
      <c r="S17" s="23">
        <v>138190</v>
      </c>
      <c r="T17" s="23">
        <v>140159</v>
      </c>
      <c r="U17" s="23">
        <v>135368</v>
      </c>
      <c r="V17" s="23">
        <v>132185</v>
      </c>
      <c r="W17" s="23">
        <v>130667</v>
      </c>
      <c r="X17" s="23">
        <v>119247</v>
      </c>
      <c r="Y17" s="23">
        <v>112630</v>
      </c>
      <c r="Z17" s="23">
        <v>107236</v>
      </c>
      <c r="AA17" s="23">
        <v>108697</v>
      </c>
      <c r="AB17" s="23">
        <v>100965</v>
      </c>
      <c r="AC17" s="23">
        <v>97221</v>
      </c>
      <c r="AD17" s="23">
        <v>96253</v>
      </c>
      <c r="AE17" s="23">
        <v>97127</v>
      </c>
      <c r="AF17" s="23">
        <v>98015</v>
      </c>
      <c r="AG17" s="23">
        <v>98271</v>
      </c>
      <c r="AH17" s="23">
        <v>100301</v>
      </c>
      <c r="AI17" s="23">
        <v>103538</v>
      </c>
      <c r="AJ17" s="23">
        <v>104500</v>
      </c>
      <c r="AK17" s="23">
        <v>107796</v>
      </c>
      <c r="AL17" s="23">
        <v>110106</v>
      </c>
      <c r="AM17" s="23">
        <v>109683</v>
      </c>
      <c r="AN17" s="23">
        <v>106909</v>
      </c>
      <c r="AO17" s="23">
        <v>104391</v>
      </c>
      <c r="AP17" s="23">
        <v>103355</v>
      </c>
      <c r="AQ17" s="23">
        <v>103226</v>
      </c>
      <c r="AR17" s="23">
        <v>103828</v>
      </c>
      <c r="AS17" s="23">
        <v>104369</v>
      </c>
      <c r="AT17" s="23">
        <v>106272</v>
      </c>
      <c r="AU17" s="23">
        <v>104705</v>
      </c>
      <c r="AV17" s="23">
        <v>106869</v>
      </c>
      <c r="AW17" s="23">
        <v>106719</v>
      </c>
      <c r="AX17" s="23">
        <v>107647</v>
      </c>
      <c r="AY17" s="23">
        <v>111410</v>
      </c>
      <c r="AZ17" s="23">
        <v>114567</v>
      </c>
      <c r="BA17" s="23">
        <v>115061</v>
      </c>
      <c r="BB17" s="23">
        <v>114925</v>
      </c>
      <c r="BC17" s="23">
        <v>117133</v>
      </c>
      <c r="BD17" s="23">
        <v>116785</v>
      </c>
      <c r="BE17" s="23">
        <v>117924</v>
      </c>
      <c r="BF17" s="23">
        <v>118216</v>
      </c>
      <c r="BG17" s="23">
        <v>117809</v>
      </c>
      <c r="BH17" s="23">
        <v>118083</v>
      </c>
    </row>
    <row r="18" spans="1:60" x14ac:dyDescent="0.2">
      <c r="A18" s="22" t="s">
        <v>80</v>
      </c>
      <c r="B18" s="23">
        <v>250675</v>
      </c>
      <c r="C18" s="23">
        <v>243371</v>
      </c>
      <c r="D18" s="23">
        <v>231492</v>
      </c>
      <c r="E18" s="23">
        <v>223342</v>
      </c>
      <c r="F18" s="23">
        <v>211438</v>
      </c>
      <c r="G18" s="23">
        <v>207807</v>
      </c>
      <c r="H18" s="23">
        <v>197954</v>
      </c>
      <c r="I18" s="23">
        <v>193657</v>
      </c>
      <c r="J18" s="23">
        <v>189617</v>
      </c>
      <c r="K18" s="23">
        <v>181604</v>
      </c>
      <c r="L18" s="23">
        <v>176527</v>
      </c>
      <c r="M18" s="23">
        <v>174090</v>
      </c>
      <c r="N18" s="23">
        <v>164699</v>
      </c>
      <c r="O18" s="23">
        <v>159067</v>
      </c>
      <c r="P18" s="23">
        <v>152100</v>
      </c>
      <c r="Q18" s="23">
        <v>148117</v>
      </c>
      <c r="R18" s="23">
        <v>144664</v>
      </c>
      <c r="S18" s="23">
        <v>142487</v>
      </c>
      <c r="T18" s="23">
        <v>143417</v>
      </c>
      <c r="U18" s="23">
        <v>139402</v>
      </c>
      <c r="V18" s="23">
        <v>134982</v>
      </c>
      <c r="W18" s="23">
        <v>123871</v>
      </c>
      <c r="X18" s="23">
        <v>115232</v>
      </c>
      <c r="Y18" s="23">
        <v>104713</v>
      </c>
      <c r="Z18" s="23">
        <v>97781</v>
      </c>
      <c r="AA18" s="23">
        <v>93295</v>
      </c>
      <c r="AB18" s="23">
        <v>81551</v>
      </c>
      <c r="AC18" s="23">
        <v>80084</v>
      </c>
      <c r="AD18" s="23">
        <v>81183</v>
      </c>
      <c r="AE18" s="23">
        <v>80133</v>
      </c>
      <c r="AF18" s="23">
        <v>78872</v>
      </c>
      <c r="AG18" s="23">
        <v>79569</v>
      </c>
      <c r="AH18" s="23">
        <v>84498</v>
      </c>
      <c r="AI18" s="23">
        <v>85766</v>
      </c>
      <c r="AJ18" s="23">
        <v>86851</v>
      </c>
      <c r="AK18" s="23">
        <v>89202</v>
      </c>
      <c r="AL18" s="23">
        <v>89530</v>
      </c>
      <c r="AM18" s="23">
        <v>90918</v>
      </c>
      <c r="AN18" s="23">
        <v>91055</v>
      </c>
      <c r="AO18" s="23">
        <v>86766</v>
      </c>
      <c r="AP18" s="23">
        <v>86399</v>
      </c>
      <c r="AQ18" s="23">
        <v>89282</v>
      </c>
      <c r="AR18" s="23">
        <v>89645</v>
      </c>
      <c r="AS18" s="23">
        <v>89966</v>
      </c>
      <c r="AT18" s="23">
        <v>91368</v>
      </c>
      <c r="AU18" s="23">
        <v>89643</v>
      </c>
      <c r="AV18" s="23">
        <v>90304</v>
      </c>
      <c r="AW18" s="23">
        <v>92142</v>
      </c>
      <c r="AX18" s="23">
        <v>91759</v>
      </c>
      <c r="AY18" s="23">
        <v>91016</v>
      </c>
      <c r="AZ18" s="23">
        <v>92963</v>
      </c>
      <c r="BA18" s="23">
        <v>95441</v>
      </c>
      <c r="BB18" s="23">
        <v>96166</v>
      </c>
      <c r="BC18" s="23">
        <v>97701</v>
      </c>
      <c r="BD18" s="23">
        <v>95216</v>
      </c>
      <c r="BE18" s="23">
        <v>96167</v>
      </c>
      <c r="BF18" s="23">
        <v>96932</v>
      </c>
      <c r="BG18" s="23">
        <v>97909</v>
      </c>
      <c r="BH18" s="23">
        <v>97498</v>
      </c>
    </row>
    <row r="19" spans="1:60" x14ac:dyDescent="0.2">
      <c r="A19" s="22" t="s">
        <v>3</v>
      </c>
      <c r="B19" s="23">
        <v>129435</v>
      </c>
      <c r="C19" s="23">
        <v>128727</v>
      </c>
      <c r="D19" s="23">
        <v>126057</v>
      </c>
      <c r="E19" s="23">
        <v>120749</v>
      </c>
      <c r="F19" s="23">
        <v>112569</v>
      </c>
      <c r="G19" s="23">
        <v>105285</v>
      </c>
      <c r="H19" s="23">
        <v>101798</v>
      </c>
      <c r="I19" s="23">
        <v>95806</v>
      </c>
      <c r="J19" s="23">
        <v>95687</v>
      </c>
      <c r="K19" s="23">
        <v>91906</v>
      </c>
      <c r="L19" s="23">
        <v>91100</v>
      </c>
      <c r="M19" s="23">
        <v>88031</v>
      </c>
      <c r="N19" s="23">
        <v>84590</v>
      </c>
      <c r="O19" s="23">
        <v>81029</v>
      </c>
      <c r="P19" s="23">
        <v>80558</v>
      </c>
      <c r="Q19" s="23">
        <v>77604</v>
      </c>
      <c r="R19" s="23">
        <v>75500</v>
      </c>
      <c r="S19" s="23">
        <v>76086</v>
      </c>
      <c r="T19" s="23">
        <v>75326</v>
      </c>
      <c r="U19" s="23">
        <v>72290</v>
      </c>
      <c r="V19" s="23">
        <v>70281</v>
      </c>
      <c r="W19" s="23">
        <v>68087</v>
      </c>
      <c r="X19" s="23">
        <v>63899</v>
      </c>
      <c r="Y19" s="23">
        <v>60920</v>
      </c>
      <c r="Z19" s="23">
        <v>58860</v>
      </c>
      <c r="AA19" s="23">
        <v>57921</v>
      </c>
      <c r="AB19" s="23">
        <v>55716</v>
      </c>
      <c r="AC19" s="23">
        <v>54091</v>
      </c>
      <c r="AD19" s="23">
        <v>53496</v>
      </c>
      <c r="AE19" s="23">
        <v>54540</v>
      </c>
      <c r="AF19" s="23">
        <v>57896</v>
      </c>
      <c r="AG19" s="23">
        <v>58138</v>
      </c>
      <c r="AH19" s="23">
        <v>56785</v>
      </c>
      <c r="AI19" s="23">
        <v>57501</v>
      </c>
      <c r="AJ19" s="23">
        <v>61296</v>
      </c>
      <c r="AK19" s="23">
        <v>62210</v>
      </c>
      <c r="AL19" s="23">
        <v>63042</v>
      </c>
      <c r="AM19" s="23">
        <v>63563</v>
      </c>
      <c r="AN19" s="23">
        <v>59716</v>
      </c>
      <c r="AO19" s="23">
        <v>56123</v>
      </c>
      <c r="AP19" s="23">
        <v>56232</v>
      </c>
      <c r="AQ19" s="23">
        <v>58070</v>
      </c>
      <c r="AR19" s="23">
        <v>58145</v>
      </c>
      <c r="AS19" s="23">
        <v>60400</v>
      </c>
      <c r="AT19" s="23">
        <v>59220</v>
      </c>
      <c r="AU19" s="23">
        <v>59220</v>
      </c>
      <c r="AV19" s="23">
        <v>58769</v>
      </c>
      <c r="AW19" s="23">
        <v>59156</v>
      </c>
      <c r="AX19" s="23">
        <v>59350</v>
      </c>
      <c r="AY19" s="23">
        <v>60802</v>
      </c>
      <c r="AZ19" s="23">
        <v>60985</v>
      </c>
      <c r="BA19" s="23">
        <v>60820</v>
      </c>
      <c r="BB19" s="23">
        <v>60819</v>
      </c>
      <c r="BC19" s="23">
        <v>61536</v>
      </c>
      <c r="BD19" s="23">
        <v>62986</v>
      </c>
      <c r="BE19" s="23">
        <v>62068</v>
      </c>
      <c r="BF19" s="23">
        <v>62386</v>
      </c>
      <c r="BG19" s="23">
        <v>61962</v>
      </c>
      <c r="BH19" s="23">
        <v>62987</v>
      </c>
    </row>
    <row r="20" spans="1:60" x14ac:dyDescent="0.2">
      <c r="A20" s="22" t="s">
        <v>4</v>
      </c>
      <c r="B20" s="23">
        <v>210773</v>
      </c>
      <c r="C20" s="23">
        <v>197570</v>
      </c>
      <c r="D20" s="23">
        <v>192236</v>
      </c>
      <c r="E20" s="23">
        <v>187121</v>
      </c>
      <c r="F20" s="23">
        <v>179875</v>
      </c>
      <c r="G20" s="23">
        <v>173461</v>
      </c>
      <c r="H20" s="23">
        <v>169877</v>
      </c>
      <c r="I20" s="23">
        <v>161459</v>
      </c>
      <c r="J20" s="23">
        <v>157222</v>
      </c>
      <c r="K20" s="23">
        <v>151934</v>
      </c>
      <c r="L20" s="23">
        <v>145757</v>
      </c>
      <c r="M20" s="23">
        <v>139412</v>
      </c>
      <c r="N20" s="23">
        <v>134487</v>
      </c>
      <c r="O20" s="23">
        <v>130795</v>
      </c>
      <c r="P20" s="23">
        <v>119573</v>
      </c>
      <c r="Q20" s="23">
        <v>113896</v>
      </c>
      <c r="R20" s="23">
        <v>112489</v>
      </c>
      <c r="S20" s="23">
        <v>113103</v>
      </c>
      <c r="T20" s="23">
        <v>113878</v>
      </c>
      <c r="U20" s="23">
        <v>110483</v>
      </c>
      <c r="V20" s="23">
        <v>108263</v>
      </c>
      <c r="W20" s="23">
        <v>100532</v>
      </c>
      <c r="X20" s="23">
        <v>93633</v>
      </c>
      <c r="Y20" s="23">
        <v>86970</v>
      </c>
      <c r="Z20" s="23">
        <v>83923</v>
      </c>
      <c r="AA20" s="23">
        <v>79841</v>
      </c>
      <c r="AB20" s="23">
        <v>72760</v>
      </c>
      <c r="AC20" s="23">
        <v>78439</v>
      </c>
      <c r="AD20" s="23">
        <v>74524</v>
      </c>
      <c r="AE20" s="23">
        <v>77013</v>
      </c>
      <c r="AF20" s="23">
        <v>70321</v>
      </c>
      <c r="AG20" s="23">
        <v>77964</v>
      </c>
      <c r="AH20" s="23">
        <v>80550</v>
      </c>
      <c r="AI20" s="23">
        <v>79631</v>
      </c>
      <c r="AJ20" s="23">
        <v>77102</v>
      </c>
      <c r="AK20" s="23">
        <v>75817</v>
      </c>
      <c r="AL20" s="23">
        <v>75477</v>
      </c>
      <c r="AM20" s="23">
        <v>76764</v>
      </c>
      <c r="AN20" s="23">
        <v>76918</v>
      </c>
      <c r="AO20" s="23">
        <v>72785</v>
      </c>
      <c r="AP20" s="23">
        <v>72854</v>
      </c>
      <c r="AQ20" s="23">
        <v>71279</v>
      </c>
      <c r="AR20" s="23">
        <v>70330</v>
      </c>
      <c r="AS20" s="23">
        <v>72529</v>
      </c>
      <c r="AT20" s="23">
        <v>74331</v>
      </c>
      <c r="AU20" s="23">
        <v>72419</v>
      </c>
      <c r="AV20" s="23">
        <v>73140</v>
      </c>
      <c r="AW20" s="23">
        <v>76676</v>
      </c>
      <c r="AX20" s="23">
        <v>78431</v>
      </c>
      <c r="AY20" s="23">
        <v>82163</v>
      </c>
      <c r="AZ20" s="23">
        <v>86326</v>
      </c>
      <c r="BA20" s="23">
        <v>82623</v>
      </c>
      <c r="BB20" s="23">
        <v>85251</v>
      </c>
      <c r="BC20" s="23">
        <v>85574</v>
      </c>
      <c r="BD20" s="23">
        <v>83955</v>
      </c>
      <c r="BE20" s="23">
        <v>88760</v>
      </c>
      <c r="BF20" s="23">
        <v>89618</v>
      </c>
      <c r="BG20" s="23">
        <v>89088</v>
      </c>
      <c r="BH20" s="23">
        <v>89658</v>
      </c>
    </row>
    <row r="21" spans="1:60" s="2" customFormat="1" x14ac:dyDescent="0.2">
      <c r="A21" s="9" t="s">
        <v>0</v>
      </c>
      <c r="B21" s="10">
        <v>2482883</v>
      </c>
      <c r="C21" s="10">
        <v>2364691</v>
      </c>
      <c r="D21" s="10">
        <v>2269674</v>
      </c>
      <c r="E21" s="10">
        <v>2176484</v>
      </c>
      <c r="F21" s="10">
        <v>2071815</v>
      </c>
      <c r="G21" s="10">
        <v>1974647</v>
      </c>
      <c r="H21" s="10">
        <v>1902292</v>
      </c>
      <c r="I21" s="10">
        <v>1844213</v>
      </c>
      <c r="J21" s="10">
        <v>1795087</v>
      </c>
      <c r="K21" s="10">
        <v>1744409</v>
      </c>
      <c r="L21" s="10">
        <v>1676801</v>
      </c>
      <c r="M21" s="10">
        <v>1600066</v>
      </c>
      <c r="N21" s="10">
        <v>1522792</v>
      </c>
      <c r="O21" s="10">
        <v>1472389</v>
      </c>
      <c r="P21" s="10">
        <v>1408834</v>
      </c>
      <c r="Q21" s="10">
        <v>1363090</v>
      </c>
      <c r="R21" s="10">
        <v>1336310</v>
      </c>
      <c r="S21" s="10">
        <v>1335041</v>
      </c>
      <c r="T21" s="10">
        <v>1335013</v>
      </c>
      <c r="U21" s="10">
        <v>1298928</v>
      </c>
      <c r="V21" s="10">
        <v>1259594</v>
      </c>
      <c r="W21" s="10">
        <v>1194229</v>
      </c>
      <c r="X21" s="10">
        <v>1124147</v>
      </c>
      <c r="Y21" s="10">
        <v>1065039</v>
      </c>
      <c r="Z21" s="10">
        <v>1016298</v>
      </c>
      <c r="AA21" s="10">
        <v>989613</v>
      </c>
      <c r="AB21" s="10">
        <v>931206</v>
      </c>
      <c r="AC21" s="10">
        <v>916642</v>
      </c>
      <c r="AD21" s="10">
        <v>908619</v>
      </c>
      <c r="AE21" s="10">
        <v>921975</v>
      </c>
      <c r="AF21" s="10">
        <v>920177</v>
      </c>
      <c r="AG21" s="10">
        <v>938179</v>
      </c>
      <c r="AH21" s="10">
        <v>956746</v>
      </c>
      <c r="AI21" s="10">
        <v>993307</v>
      </c>
      <c r="AJ21" s="10">
        <v>1020102</v>
      </c>
      <c r="AK21" s="10">
        <v>1030938</v>
      </c>
      <c r="AL21" s="10">
        <v>1044298</v>
      </c>
      <c r="AM21" s="10">
        <v>1047703</v>
      </c>
      <c r="AN21" s="10">
        <v>1038608</v>
      </c>
      <c r="AO21" s="10">
        <v>1009515</v>
      </c>
      <c r="AP21" s="10">
        <v>1008887</v>
      </c>
      <c r="AQ21" s="10">
        <v>1012600</v>
      </c>
      <c r="AR21" s="10">
        <v>1026237</v>
      </c>
      <c r="AS21" s="10">
        <v>1043468</v>
      </c>
      <c r="AT21" s="10">
        <v>1038960</v>
      </c>
      <c r="AU21" s="10">
        <v>1038632</v>
      </c>
      <c r="AV21" s="10">
        <v>1045783</v>
      </c>
      <c r="AW21" s="10">
        <v>1059685</v>
      </c>
      <c r="AX21" s="10">
        <v>1065535</v>
      </c>
      <c r="AY21" s="10">
        <v>1081588</v>
      </c>
      <c r="AZ21" s="10">
        <v>1098281</v>
      </c>
      <c r="BA21" s="10">
        <v>1106167</v>
      </c>
      <c r="BB21" s="10">
        <v>1113563</v>
      </c>
      <c r="BC21" s="10">
        <v>1128422</v>
      </c>
      <c r="BD21" s="10">
        <v>1121514</v>
      </c>
      <c r="BE21" s="10">
        <v>1123669</v>
      </c>
      <c r="BF21" s="10">
        <v>1136960</v>
      </c>
      <c r="BG21" s="10">
        <v>1136752</v>
      </c>
      <c r="BH21" s="10">
        <v>1128689</v>
      </c>
    </row>
  </sheetData>
  <phoneticPr fontId="1" type="noConversion"/>
  <hyperlinks>
    <hyperlink ref="A2" location="Sommaire!A1" display="Retour au menu &quot;Exploitation des films&quot;" xr:uid="{00000000-0004-0000-0500-000000000000}"/>
  </hyperlink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BH21"/>
  <sheetViews>
    <sheetView workbookViewId="0"/>
  </sheetViews>
  <sheetFormatPr baseColWidth="10" defaultColWidth="5.5703125" defaultRowHeight="12" x14ac:dyDescent="0.2"/>
  <cols>
    <col min="1" max="1" width="38" style="1" bestFit="1" customWidth="1"/>
    <col min="2" max="27" width="5" style="1" hidden="1" customWidth="1"/>
    <col min="28" max="38" width="5" style="1" bestFit="1" customWidth="1"/>
    <col min="39" max="51" width="5" style="4" bestFit="1" customWidth="1"/>
    <col min="52" max="55" width="5" style="1" bestFit="1" customWidth="1"/>
    <col min="56"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row>
    <row r="3" spans="1:60" s="36" customFormat="1" ht="12.75" x14ac:dyDescent="0.2">
      <c r="AM3" s="37"/>
      <c r="AN3" s="37"/>
      <c r="AO3" s="37"/>
      <c r="AP3" s="37"/>
      <c r="AQ3" s="37"/>
      <c r="AR3" s="37"/>
      <c r="AS3" s="37"/>
      <c r="AT3" s="37"/>
      <c r="AU3" s="37"/>
      <c r="AV3" s="37"/>
      <c r="AW3" s="37"/>
      <c r="AX3" s="37"/>
      <c r="AY3" s="37"/>
      <c r="AZ3" s="37"/>
      <c r="BA3" s="37"/>
      <c r="BB3" s="37"/>
      <c r="BC3" s="37"/>
      <c r="BD3" s="37"/>
      <c r="BE3" s="37"/>
    </row>
    <row r="4" spans="1:60" s="36" customFormat="1" ht="12.75" x14ac:dyDescent="0.2">
      <c r="AM4" s="37"/>
      <c r="AN4" s="37"/>
      <c r="AO4" s="37"/>
      <c r="AP4" s="37"/>
      <c r="AQ4" s="37"/>
      <c r="AR4" s="37"/>
      <c r="AS4" s="37"/>
      <c r="AT4" s="37"/>
      <c r="AU4" s="37"/>
      <c r="AV4" s="37"/>
      <c r="AW4" s="37"/>
      <c r="AX4" s="37"/>
      <c r="AY4" s="37"/>
      <c r="AZ4" s="37"/>
      <c r="BA4" s="37"/>
      <c r="BB4" s="37"/>
      <c r="BC4" s="37"/>
      <c r="BD4" s="37"/>
      <c r="BE4" s="37"/>
    </row>
    <row r="5" spans="1:60" ht="12.75" x14ac:dyDescent="0.2">
      <c r="A5" s="3" t="s">
        <v>14</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16"/>
      <c r="B7" s="17">
        <v>1966</v>
      </c>
      <c r="C7" s="17">
        <v>1967</v>
      </c>
      <c r="D7" s="17">
        <v>1968</v>
      </c>
      <c r="E7" s="17">
        <v>1969</v>
      </c>
      <c r="F7" s="17">
        <v>1970</v>
      </c>
      <c r="G7" s="17">
        <v>1971</v>
      </c>
      <c r="H7" s="17">
        <v>1972</v>
      </c>
      <c r="I7" s="17">
        <v>1973</v>
      </c>
      <c r="J7" s="17">
        <v>1974</v>
      </c>
      <c r="K7" s="17">
        <v>1975</v>
      </c>
      <c r="L7" s="17">
        <v>1976</v>
      </c>
      <c r="M7" s="17">
        <v>1977</v>
      </c>
      <c r="N7" s="17">
        <v>1978</v>
      </c>
      <c r="O7" s="17">
        <v>1979</v>
      </c>
      <c r="P7" s="17">
        <v>1980</v>
      </c>
      <c r="Q7" s="17">
        <v>1981</v>
      </c>
      <c r="R7" s="17">
        <v>1982</v>
      </c>
      <c r="S7" s="17">
        <v>1983</v>
      </c>
      <c r="T7" s="17">
        <v>1984</v>
      </c>
      <c r="U7" s="17">
        <v>1985</v>
      </c>
      <c r="V7" s="17">
        <v>1986</v>
      </c>
      <c r="W7" s="17">
        <v>1987</v>
      </c>
      <c r="X7" s="17">
        <v>1988</v>
      </c>
      <c r="Y7" s="17">
        <v>1989</v>
      </c>
      <c r="Z7" s="17">
        <v>1990</v>
      </c>
      <c r="AA7" s="17">
        <v>1991</v>
      </c>
      <c r="AB7" s="17">
        <v>1992</v>
      </c>
      <c r="AC7" s="17">
        <v>1993</v>
      </c>
      <c r="AD7" s="17">
        <v>1994</v>
      </c>
      <c r="AE7" s="17">
        <v>1995</v>
      </c>
      <c r="AF7" s="17">
        <v>1996</v>
      </c>
      <c r="AG7" s="17">
        <v>1997</v>
      </c>
      <c r="AH7" s="17">
        <v>1998</v>
      </c>
      <c r="AI7" s="17">
        <v>1999</v>
      </c>
      <c r="AJ7" s="17">
        <v>2000</v>
      </c>
      <c r="AK7" s="17">
        <v>2001</v>
      </c>
      <c r="AL7" s="17">
        <v>2002</v>
      </c>
      <c r="AM7" s="17">
        <v>2003</v>
      </c>
      <c r="AN7" s="17">
        <v>2004</v>
      </c>
      <c r="AO7" s="17">
        <v>2005</v>
      </c>
      <c r="AP7" s="17">
        <v>2006</v>
      </c>
      <c r="AQ7" s="17">
        <v>2007</v>
      </c>
      <c r="AR7" s="17">
        <v>2008</v>
      </c>
      <c r="AS7" s="17">
        <v>2009</v>
      </c>
      <c r="AT7" s="17">
        <v>2010</v>
      </c>
      <c r="AU7" s="17">
        <v>2011</v>
      </c>
      <c r="AV7" s="17">
        <v>2012</v>
      </c>
      <c r="AW7" s="17">
        <v>2013</v>
      </c>
      <c r="AX7" s="17">
        <v>2014</v>
      </c>
      <c r="AY7" s="17">
        <v>2015</v>
      </c>
      <c r="AZ7" s="17">
        <v>2016</v>
      </c>
      <c r="BA7" s="17">
        <v>2017</v>
      </c>
      <c r="BB7" s="17">
        <v>2018</v>
      </c>
      <c r="BC7" s="17">
        <v>2019</v>
      </c>
      <c r="BD7" s="17">
        <v>2020</v>
      </c>
      <c r="BE7" s="17">
        <v>2021</v>
      </c>
      <c r="BF7" s="17">
        <v>2022</v>
      </c>
      <c r="BG7" s="17">
        <v>2023</v>
      </c>
      <c r="BH7" s="17">
        <v>2024</v>
      </c>
    </row>
    <row r="8" spans="1:60" x14ac:dyDescent="0.2">
      <c r="A8" s="18" t="s">
        <v>72</v>
      </c>
      <c r="B8" s="19"/>
      <c r="C8" s="19"/>
      <c r="D8" s="19"/>
      <c r="E8" s="19"/>
      <c r="F8" s="19"/>
      <c r="G8" s="19"/>
      <c r="H8" s="19"/>
      <c r="I8" s="19"/>
      <c r="J8" s="19"/>
      <c r="K8" s="19"/>
      <c r="L8" s="19"/>
      <c r="M8" s="19"/>
      <c r="N8" s="19"/>
      <c r="O8" s="19"/>
      <c r="P8" s="19"/>
      <c r="Q8" s="19"/>
      <c r="R8" s="19"/>
      <c r="S8" s="19"/>
      <c r="T8" s="19"/>
      <c r="U8" s="19"/>
      <c r="V8" s="19"/>
      <c r="W8" s="19"/>
      <c r="X8" s="19"/>
      <c r="Y8" s="19"/>
      <c r="Z8" s="19"/>
      <c r="AA8" s="19"/>
      <c r="AB8" s="19">
        <v>4</v>
      </c>
      <c r="AC8" s="19">
        <v>4</v>
      </c>
      <c r="AD8" s="19">
        <v>4</v>
      </c>
      <c r="AE8" s="19">
        <v>4</v>
      </c>
      <c r="AF8" s="19">
        <v>4</v>
      </c>
      <c r="AG8" s="19">
        <v>7</v>
      </c>
      <c r="AH8" s="19">
        <v>7</v>
      </c>
      <c r="AI8" s="19">
        <v>7</v>
      </c>
      <c r="AJ8" s="19">
        <v>11</v>
      </c>
      <c r="AK8" s="19">
        <v>13</v>
      </c>
      <c r="AL8" s="19">
        <v>15</v>
      </c>
      <c r="AM8" s="19">
        <v>15</v>
      </c>
      <c r="AN8" s="19">
        <v>15</v>
      </c>
      <c r="AO8" s="19">
        <v>15</v>
      </c>
      <c r="AP8" s="19">
        <v>16</v>
      </c>
      <c r="AQ8" s="19">
        <v>17</v>
      </c>
      <c r="AR8" s="19">
        <v>19</v>
      </c>
      <c r="AS8" s="19">
        <v>19</v>
      </c>
      <c r="AT8" s="19">
        <v>19</v>
      </c>
      <c r="AU8" s="19">
        <v>21</v>
      </c>
      <c r="AV8" s="19">
        <v>23</v>
      </c>
      <c r="AW8" s="19">
        <v>23</v>
      </c>
      <c r="AX8" s="19">
        <v>23</v>
      </c>
      <c r="AY8" s="19">
        <v>25</v>
      </c>
      <c r="AZ8" s="19">
        <v>25</v>
      </c>
      <c r="BA8" s="19">
        <v>28</v>
      </c>
      <c r="BB8" s="19">
        <v>28</v>
      </c>
      <c r="BC8" s="19">
        <v>28</v>
      </c>
      <c r="BD8" s="19">
        <v>28</v>
      </c>
      <c r="BE8" s="19">
        <v>28</v>
      </c>
      <c r="BF8" s="19">
        <v>29</v>
      </c>
      <c r="BG8" s="19">
        <v>30</v>
      </c>
      <c r="BH8" s="19">
        <v>30</v>
      </c>
    </row>
    <row r="9" spans="1:60" x14ac:dyDescent="0.2">
      <c r="A9" s="18" t="s">
        <v>73</v>
      </c>
      <c r="B9" s="19"/>
      <c r="C9" s="19"/>
      <c r="D9" s="19"/>
      <c r="E9" s="19"/>
      <c r="F9" s="19"/>
      <c r="G9" s="19"/>
      <c r="H9" s="19"/>
      <c r="I9" s="19"/>
      <c r="J9" s="19"/>
      <c r="K9" s="19"/>
      <c r="L9" s="19"/>
      <c r="M9" s="19"/>
      <c r="N9" s="19"/>
      <c r="O9" s="19"/>
      <c r="P9" s="19"/>
      <c r="Q9" s="19"/>
      <c r="R9" s="19"/>
      <c r="S9" s="19"/>
      <c r="T9" s="19"/>
      <c r="U9" s="19"/>
      <c r="V9" s="19"/>
      <c r="W9" s="19"/>
      <c r="X9" s="19"/>
      <c r="Y9" s="19"/>
      <c r="Z9" s="19"/>
      <c r="AA9" s="19"/>
      <c r="AB9" s="19">
        <v>0</v>
      </c>
      <c r="AC9" s="19">
        <v>0</v>
      </c>
      <c r="AD9" s="19">
        <v>0</v>
      </c>
      <c r="AE9" s="19">
        <v>1</v>
      </c>
      <c r="AF9" s="19">
        <v>1</v>
      </c>
      <c r="AG9" s="19">
        <v>1</v>
      </c>
      <c r="AH9" s="19">
        <v>1</v>
      </c>
      <c r="AI9" s="19">
        <v>3</v>
      </c>
      <c r="AJ9" s="19">
        <v>4</v>
      </c>
      <c r="AK9" s="19">
        <v>4</v>
      </c>
      <c r="AL9" s="19">
        <v>5</v>
      </c>
      <c r="AM9" s="19">
        <v>6</v>
      </c>
      <c r="AN9" s="19">
        <v>6</v>
      </c>
      <c r="AO9" s="19">
        <v>8</v>
      </c>
      <c r="AP9" s="19">
        <v>8</v>
      </c>
      <c r="AQ9" s="19">
        <v>9</v>
      </c>
      <c r="AR9" s="19">
        <v>9</v>
      </c>
      <c r="AS9" s="19">
        <v>9</v>
      </c>
      <c r="AT9" s="19">
        <v>9</v>
      </c>
      <c r="AU9" s="19">
        <v>9</v>
      </c>
      <c r="AV9" s="19">
        <v>9</v>
      </c>
      <c r="AW9" s="19">
        <v>10</v>
      </c>
      <c r="AX9" s="19">
        <v>10</v>
      </c>
      <c r="AY9" s="19">
        <v>10</v>
      </c>
      <c r="AZ9" s="19">
        <v>10</v>
      </c>
      <c r="BA9" s="19">
        <v>10</v>
      </c>
      <c r="BB9" s="19">
        <v>11</v>
      </c>
      <c r="BC9" s="19">
        <v>11</v>
      </c>
      <c r="BD9" s="19">
        <v>11</v>
      </c>
      <c r="BE9" s="19">
        <v>11</v>
      </c>
      <c r="BF9" s="19">
        <v>12</v>
      </c>
      <c r="BG9" s="19">
        <v>12</v>
      </c>
      <c r="BH9" s="19">
        <v>12</v>
      </c>
    </row>
    <row r="10" spans="1:60" x14ac:dyDescent="0.2">
      <c r="A10" s="18" t="s">
        <v>1</v>
      </c>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v>2</v>
      </c>
      <c r="AC10" s="19">
        <v>2</v>
      </c>
      <c r="AD10" s="19">
        <v>2</v>
      </c>
      <c r="AE10" s="19">
        <v>2</v>
      </c>
      <c r="AF10" s="19">
        <v>2</v>
      </c>
      <c r="AG10" s="19">
        <v>2</v>
      </c>
      <c r="AH10" s="19">
        <v>2</v>
      </c>
      <c r="AI10" s="19">
        <v>4</v>
      </c>
      <c r="AJ10" s="19">
        <v>4</v>
      </c>
      <c r="AK10" s="19">
        <v>4</v>
      </c>
      <c r="AL10" s="19">
        <v>4</v>
      </c>
      <c r="AM10" s="19">
        <v>5</v>
      </c>
      <c r="AN10" s="19">
        <v>6</v>
      </c>
      <c r="AO10" s="19">
        <v>7</v>
      </c>
      <c r="AP10" s="19">
        <v>7</v>
      </c>
      <c r="AQ10" s="19">
        <v>7</v>
      </c>
      <c r="AR10" s="19">
        <v>7</v>
      </c>
      <c r="AS10" s="19">
        <v>7</v>
      </c>
      <c r="AT10" s="19">
        <v>7</v>
      </c>
      <c r="AU10" s="19">
        <v>7</v>
      </c>
      <c r="AV10" s="19">
        <v>8</v>
      </c>
      <c r="AW10" s="19">
        <v>8</v>
      </c>
      <c r="AX10" s="19">
        <v>8</v>
      </c>
      <c r="AY10" s="19">
        <v>9</v>
      </c>
      <c r="AZ10" s="19">
        <v>9</v>
      </c>
      <c r="BA10" s="19">
        <v>9</v>
      </c>
      <c r="BB10" s="19">
        <v>9</v>
      </c>
      <c r="BC10" s="19">
        <v>9</v>
      </c>
      <c r="BD10" s="19">
        <v>10</v>
      </c>
      <c r="BE10" s="19">
        <v>10</v>
      </c>
      <c r="BF10" s="19">
        <v>10</v>
      </c>
      <c r="BG10" s="19">
        <v>10</v>
      </c>
      <c r="BH10" s="19">
        <v>10</v>
      </c>
    </row>
    <row r="11" spans="1:60" x14ac:dyDescent="0.2">
      <c r="A11" s="7" t="s">
        <v>74</v>
      </c>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v>0</v>
      </c>
      <c r="AC11" s="19">
        <v>0</v>
      </c>
      <c r="AD11" s="19">
        <v>0</v>
      </c>
      <c r="AE11" s="19">
        <v>1</v>
      </c>
      <c r="AF11" s="19">
        <v>2</v>
      </c>
      <c r="AG11" s="19">
        <v>2</v>
      </c>
      <c r="AH11" s="19">
        <v>3</v>
      </c>
      <c r="AI11" s="19">
        <v>3</v>
      </c>
      <c r="AJ11" s="19">
        <v>5</v>
      </c>
      <c r="AK11" s="19">
        <v>5</v>
      </c>
      <c r="AL11" s="19">
        <v>5</v>
      </c>
      <c r="AM11" s="19">
        <v>6</v>
      </c>
      <c r="AN11" s="19">
        <v>6</v>
      </c>
      <c r="AO11" s="19">
        <v>6</v>
      </c>
      <c r="AP11" s="19">
        <v>6</v>
      </c>
      <c r="AQ11" s="19">
        <v>6</v>
      </c>
      <c r="AR11" s="19">
        <v>10</v>
      </c>
      <c r="AS11" s="19">
        <v>10</v>
      </c>
      <c r="AT11" s="19">
        <v>10</v>
      </c>
      <c r="AU11" s="19">
        <v>10</v>
      </c>
      <c r="AV11" s="19">
        <v>10</v>
      </c>
      <c r="AW11" s="19">
        <v>10</v>
      </c>
      <c r="AX11" s="19">
        <v>10</v>
      </c>
      <c r="AY11" s="19">
        <v>10</v>
      </c>
      <c r="AZ11" s="19">
        <v>10</v>
      </c>
      <c r="BA11" s="19">
        <v>10</v>
      </c>
      <c r="BB11" s="19">
        <v>11</v>
      </c>
      <c r="BC11" s="19">
        <v>11</v>
      </c>
      <c r="BD11" s="19">
        <v>11</v>
      </c>
      <c r="BE11" s="19">
        <v>11</v>
      </c>
      <c r="BF11" s="19">
        <v>11</v>
      </c>
      <c r="BG11" s="19">
        <v>11</v>
      </c>
      <c r="BH11" s="19">
        <v>11</v>
      </c>
    </row>
    <row r="12" spans="1:60" x14ac:dyDescent="0.2">
      <c r="A12" s="7" t="s">
        <v>5</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v>0</v>
      </c>
      <c r="AC12" s="19">
        <v>0</v>
      </c>
      <c r="AD12" s="19">
        <v>0</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v>0</v>
      </c>
      <c r="AW12" s="19">
        <v>0</v>
      </c>
      <c r="AX12" s="19">
        <v>0</v>
      </c>
      <c r="AY12" s="19">
        <v>0</v>
      </c>
      <c r="AZ12" s="19">
        <v>0</v>
      </c>
      <c r="BA12" s="19">
        <v>0</v>
      </c>
      <c r="BB12" s="19">
        <v>0</v>
      </c>
      <c r="BC12" s="19">
        <v>0</v>
      </c>
      <c r="BD12" s="19">
        <v>0</v>
      </c>
      <c r="BE12" s="19">
        <v>0</v>
      </c>
      <c r="BF12" s="19">
        <v>0</v>
      </c>
      <c r="BG12" s="19">
        <v>0</v>
      </c>
      <c r="BH12" s="19">
        <v>0</v>
      </c>
    </row>
    <row r="13" spans="1:60" x14ac:dyDescent="0.2">
      <c r="A13" s="18" t="s">
        <v>77</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v>0</v>
      </c>
      <c r="AC13" s="19">
        <v>0</v>
      </c>
      <c r="AD13" s="19">
        <v>1</v>
      </c>
      <c r="AE13" s="19">
        <v>3</v>
      </c>
      <c r="AF13" s="19">
        <v>3</v>
      </c>
      <c r="AG13" s="19">
        <v>4</v>
      </c>
      <c r="AH13" s="19">
        <v>4</v>
      </c>
      <c r="AI13" s="19">
        <v>8</v>
      </c>
      <c r="AJ13" s="19">
        <v>12</v>
      </c>
      <c r="AK13" s="19">
        <v>12</v>
      </c>
      <c r="AL13" s="19">
        <v>12</v>
      </c>
      <c r="AM13" s="19">
        <v>12</v>
      </c>
      <c r="AN13" s="19">
        <v>14</v>
      </c>
      <c r="AO13" s="19">
        <v>16</v>
      </c>
      <c r="AP13" s="19">
        <v>17</v>
      </c>
      <c r="AQ13" s="19">
        <v>18</v>
      </c>
      <c r="AR13" s="19">
        <v>17</v>
      </c>
      <c r="AS13" s="19">
        <v>17</v>
      </c>
      <c r="AT13" s="19">
        <v>17</v>
      </c>
      <c r="AU13" s="19">
        <v>19</v>
      </c>
      <c r="AV13" s="19">
        <v>20</v>
      </c>
      <c r="AW13" s="19">
        <v>20</v>
      </c>
      <c r="AX13" s="19">
        <v>20</v>
      </c>
      <c r="AY13" s="19">
        <v>21</v>
      </c>
      <c r="AZ13" s="19">
        <v>21</v>
      </c>
      <c r="BA13" s="19">
        <v>22</v>
      </c>
      <c r="BB13" s="19">
        <v>22</v>
      </c>
      <c r="BC13" s="19">
        <v>23</v>
      </c>
      <c r="BD13" s="19">
        <v>23</v>
      </c>
      <c r="BE13" s="19">
        <v>23</v>
      </c>
      <c r="BF13" s="19">
        <v>24</v>
      </c>
      <c r="BG13" s="19">
        <v>24</v>
      </c>
      <c r="BH13" s="19">
        <v>24</v>
      </c>
    </row>
    <row r="14" spans="1:60" x14ac:dyDescent="0.2">
      <c r="A14" s="22" t="s">
        <v>78</v>
      </c>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v>4</v>
      </c>
      <c r="AC14" s="19">
        <v>4</v>
      </c>
      <c r="AD14" s="19">
        <v>4</v>
      </c>
      <c r="AE14" s="19">
        <v>5</v>
      </c>
      <c r="AF14" s="19">
        <v>7</v>
      </c>
      <c r="AG14" s="19">
        <v>7</v>
      </c>
      <c r="AH14" s="19">
        <v>7</v>
      </c>
      <c r="AI14" s="19">
        <v>10</v>
      </c>
      <c r="AJ14" s="19">
        <v>11</v>
      </c>
      <c r="AK14" s="19">
        <v>13</v>
      </c>
      <c r="AL14" s="19">
        <v>14</v>
      </c>
      <c r="AM14" s="19">
        <v>14</v>
      </c>
      <c r="AN14" s="19">
        <v>15</v>
      </c>
      <c r="AO14" s="19">
        <v>15</v>
      </c>
      <c r="AP14" s="19">
        <v>16</v>
      </c>
      <c r="AQ14" s="19">
        <v>17</v>
      </c>
      <c r="AR14" s="19">
        <v>17</v>
      </c>
      <c r="AS14" s="19">
        <v>18</v>
      </c>
      <c r="AT14" s="19">
        <v>18</v>
      </c>
      <c r="AU14" s="19">
        <v>18</v>
      </c>
      <c r="AV14" s="19">
        <v>18</v>
      </c>
      <c r="AW14" s="19">
        <v>18</v>
      </c>
      <c r="AX14" s="19">
        <v>18</v>
      </c>
      <c r="AY14" s="19">
        <v>18</v>
      </c>
      <c r="AZ14" s="19">
        <v>18</v>
      </c>
      <c r="BA14" s="19">
        <v>19</v>
      </c>
      <c r="BB14" s="19">
        <v>19</v>
      </c>
      <c r="BC14" s="19">
        <v>19</v>
      </c>
      <c r="BD14" s="19">
        <v>20</v>
      </c>
      <c r="BE14" s="19">
        <v>20</v>
      </c>
      <c r="BF14" s="19">
        <v>20</v>
      </c>
      <c r="BG14" s="19">
        <v>20</v>
      </c>
      <c r="BH14" s="19">
        <v>21</v>
      </c>
    </row>
    <row r="15" spans="1:60" x14ac:dyDescent="0.2">
      <c r="A15" s="18" t="s">
        <v>2</v>
      </c>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v>7</v>
      </c>
      <c r="AC15" s="19">
        <v>7</v>
      </c>
      <c r="AD15" s="19">
        <v>8</v>
      </c>
      <c r="AE15" s="19">
        <v>9</v>
      </c>
      <c r="AF15" s="19">
        <v>9</v>
      </c>
      <c r="AG15" s="19">
        <v>11</v>
      </c>
      <c r="AH15" s="19">
        <v>14</v>
      </c>
      <c r="AI15" s="19">
        <v>15</v>
      </c>
      <c r="AJ15" s="19">
        <v>15</v>
      </c>
      <c r="AK15" s="19">
        <v>18</v>
      </c>
      <c r="AL15" s="19">
        <v>21</v>
      </c>
      <c r="AM15" s="19">
        <v>22</v>
      </c>
      <c r="AN15" s="19">
        <v>25</v>
      </c>
      <c r="AO15" s="19">
        <v>25</v>
      </c>
      <c r="AP15" s="19">
        <v>25</v>
      </c>
      <c r="AQ15" s="19">
        <v>25</v>
      </c>
      <c r="AR15" s="19">
        <v>25</v>
      </c>
      <c r="AS15" s="19">
        <v>26</v>
      </c>
      <c r="AT15" s="19">
        <v>26</v>
      </c>
      <c r="AU15" s="19">
        <v>26</v>
      </c>
      <c r="AV15" s="19">
        <v>26</v>
      </c>
      <c r="AW15" s="19">
        <v>30</v>
      </c>
      <c r="AX15" s="19">
        <v>31</v>
      </c>
      <c r="AY15" s="19">
        <v>32</v>
      </c>
      <c r="AZ15" s="19">
        <v>35</v>
      </c>
      <c r="BA15" s="19">
        <v>38</v>
      </c>
      <c r="BB15" s="19">
        <v>41</v>
      </c>
      <c r="BC15" s="19">
        <v>44</v>
      </c>
      <c r="BD15" s="19">
        <v>45</v>
      </c>
      <c r="BE15" s="19">
        <v>46</v>
      </c>
      <c r="BF15" s="19">
        <v>47</v>
      </c>
      <c r="BG15" s="19">
        <v>47</v>
      </c>
      <c r="BH15" s="19">
        <v>47</v>
      </c>
    </row>
    <row r="16" spans="1:60" x14ac:dyDescent="0.2">
      <c r="A16" s="22" t="s">
        <v>75</v>
      </c>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v>1</v>
      </c>
      <c r="AC16" s="19">
        <v>1</v>
      </c>
      <c r="AD16" s="19">
        <v>1</v>
      </c>
      <c r="AE16" s="19">
        <v>1</v>
      </c>
      <c r="AF16" s="19">
        <v>1</v>
      </c>
      <c r="AG16" s="19">
        <v>1</v>
      </c>
      <c r="AH16" s="19">
        <v>2</v>
      </c>
      <c r="AI16" s="19">
        <v>4</v>
      </c>
      <c r="AJ16" s="19">
        <v>5</v>
      </c>
      <c r="AK16" s="19">
        <v>6</v>
      </c>
      <c r="AL16" s="19">
        <v>6</v>
      </c>
      <c r="AM16" s="19">
        <v>6</v>
      </c>
      <c r="AN16" s="19">
        <v>6</v>
      </c>
      <c r="AO16" s="19">
        <v>6</v>
      </c>
      <c r="AP16" s="19">
        <v>6</v>
      </c>
      <c r="AQ16" s="19">
        <v>6</v>
      </c>
      <c r="AR16" s="19">
        <v>6</v>
      </c>
      <c r="AS16" s="19">
        <v>9</v>
      </c>
      <c r="AT16" s="19">
        <v>8</v>
      </c>
      <c r="AU16" s="19">
        <v>8</v>
      </c>
      <c r="AV16" s="19">
        <v>8</v>
      </c>
      <c r="AW16" s="19">
        <v>9</v>
      </c>
      <c r="AX16" s="19">
        <v>9</v>
      </c>
      <c r="AY16" s="19">
        <v>9</v>
      </c>
      <c r="AZ16" s="19">
        <v>9</v>
      </c>
      <c r="BA16" s="19">
        <v>9</v>
      </c>
      <c r="BB16" s="19">
        <v>9</v>
      </c>
      <c r="BC16" s="19">
        <v>10</v>
      </c>
      <c r="BD16" s="19">
        <v>10</v>
      </c>
      <c r="BE16" s="19">
        <v>10</v>
      </c>
      <c r="BF16" s="19">
        <v>11</v>
      </c>
      <c r="BG16" s="19">
        <v>11</v>
      </c>
      <c r="BH16" s="19">
        <v>11</v>
      </c>
    </row>
    <row r="17" spans="1:60" x14ac:dyDescent="0.2">
      <c r="A17" s="18" t="s">
        <v>79</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v>5</v>
      </c>
      <c r="AC17" s="19">
        <v>5</v>
      </c>
      <c r="AD17" s="19">
        <v>5</v>
      </c>
      <c r="AE17" s="19">
        <v>6</v>
      </c>
      <c r="AF17" s="19">
        <v>9</v>
      </c>
      <c r="AG17" s="19">
        <v>10</v>
      </c>
      <c r="AH17" s="19">
        <v>12</v>
      </c>
      <c r="AI17" s="19">
        <v>13</v>
      </c>
      <c r="AJ17" s="19">
        <v>13</v>
      </c>
      <c r="AK17" s="19">
        <v>15</v>
      </c>
      <c r="AL17" s="19">
        <v>16</v>
      </c>
      <c r="AM17" s="19">
        <v>17</v>
      </c>
      <c r="AN17" s="19">
        <v>17</v>
      </c>
      <c r="AO17" s="19">
        <v>18</v>
      </c>
      <c r="AP17" s="19">
        <v>17</v>
      </c>
      <c r="AQ17" s="19">
        <v>18</v>
      </c>
      <c r="AR17" s="19">
        <v>19</v>
      </c>
      <c r="AS17" s="19">
        <v>19</v>
      </c>
      <c r="AT17" s="19">
        <v>20</v>
      </c>
      <c r="AU17" s="19">
        <v>20</v>
      </c>
      <c r="AV17" s="19">
        <v>21</v>
      </c>
      <c r="AW17" s="19">
        <v>20</v>
      </c>
      <c r="AX17" s="19">
        <v>21</v>
      </c>
      <c r="AY17" s="19">
        <v>24</v>
      </c>
      <c r="AZ17" s="19">
        <v>25</v>
      </c>
      <c r="BA17" s="19">
        <v>25</v>
      </c>
      <c r="BB17" s="19">
        <v>25</v>
      </c>
      <c r="BC17" s="19">
        <v>25</v>
      </c>
      <c r="BD17" s="19">
        <v>24</v>
      </c>
      <c r="BE17" s="19">
        <v>26</v>
      </c>
      <c r="BF17" s="19">
        <v>27</v>
      </c>
      <c r="BG17" s="19">
        <v>27</v>
      </c>
      <c r="BH17" s="19">
        <v>27</v>
      </c>
    </row>
    <row r="18" spans="1:60" x14ac:dyDescent="0.2">
      <c r="A18" s="18" t="s">
        <v>80</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v>4</v>
      </c>
      <c r="AC18" s="19">
        <v>4</v>
      </c>
      <c r="AD18" s="19">
        <v>4</v>
      </c>
      <c r="AE18" s="19">
        <v>4</v>
      </c>
      <c r="AF18" s="19">
        <v>5</v>
      </c>
      <c r="AG18" s="19">
        <v>6</v>
      </c>
      <c r="AH18" s="19">
        <v>8</v>
      </c>
      <c r="AI18" s="19">
        <v>10</v>
      </c>
      <c r="AJ18" s="19">
        <v>12</v>
      </c>
      <c r="AK18" s="19">
        <v>13</v>
      </c>
      <c r="AL18" s="19">
        <v>13</v>
      </c>
      <c r="AM18" s="19">
        <v>13</v>
      </c>
      <c r="AN18" s="19">
        <v>14</v>
      </c>
      <c r="AO18" s="19">
        <v>14</v>
      </c>
      <c r="AP18" s="19">
        <v>14</v>
      </c>
      <c r="AQ18" s="19">
        <v>15</v>
      </c>
      <c r="AR18" s="19">
        <v>15</v>
      </c>
      <c r="AS18" s="19">
        <v>15</v>
      </c>
      <c r="AT18" s="19">
        <v>16</v>
      </c>
      <c r="AU18" s="19">
        <v>16</v>
      </c>
      <c r="AV18" s="19">
        <v>16</v>
      </c>
      <c r="AW18" s="19">
        <v>18</v>
      </c>
      <c r="AX18" s="19">
        <v>18</v>
      </c>
      <c r="AY18" s="19">
        <v>20</v>
      </c>
      <c r="AZ18" s="19">
        <v>21</v>
      </c>
      <c r="BA18" s="19">
        <v>23</v>
      </c>
      <c r="BB18" s="19">
        <v>23</v>
      </c>
      <c r="BC18" s="19">
        <v>23</v>
      </c>
      <c r="BD18" s="19">
        <v>22</v>
      </c>
      <c r="BE18" s="19">
        <v>22</v>
      </c>
      <c r="BF18" s="19">
        <v>22</v>
      </c>
      <c r="BG18" s="19">
        <v>23</v>
      </c>
      <c r="BH18" s="19">
        <v>23</v>
      </c>
    </row>
    <row r="19" spans="1:60" x14ac:dyDescent="0.2">
      <c r="A19" s="22" t="s">
        <v>3</v>
      </c>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v>0</v>
      </c>
      <c r="AC19" s="19">
        <v>0</v>
      </c>
      <c r="AD19" s="19">
        <v>0</v>
      </c>
      <c r="AE19" s="19">
        <v>1</v>
      </c>
      <c r="AF19" s="19">
        <v>3</v>
      </c>
      <c r="AG19" s="19">
        <v>3</v>
      </c>
      <c r="AH19" s="19">
        <v>3</v>
      </c>
      <c r="AI19" s="19">
        <v>4</v>
      </c>
      <c r="AJ19" s="19">
        <v>6</v>
      </c>
      <c r="AK19" s="19">
        <v>7</v>
      </c>
      <c r="AL19" s="19">
        <v>8</v>
      </c>
      <c r="AM19" s="19">
        <v>8</v>
      </c>
      <c r="AN19" s="19">
        <v>8</v>
      </c>
      <c r="AO19" s="19">
        <v>8</v>
      </c>
      <c r="AP19" s="19">
        <v>8</v>
      </c>
      <c r="AQ19" s="19">
        <v>9</v>
      </c>
      <c r="AR19" s="19">
        <v>10</v>
      </c>
      <c r="AS19" s="19">
        <v>11</v>
      </c>
      <c r="AT19" s="19">
        <v>11</v>
      </c>
      <c r="AU19" s="19">
        <v>11</v>
      </c>
      <c r="AV19" s="19">
        <v>11</v>
      </c>
      <c r="AW19" s="19">
        <v>11</v>
      </c>
      <c r="AX19" s="19">
        <v>12</v>
      </c>
      <c r="AY19" s="19">
        <v>12</v>
      </c>
      <c r="AZ19" s="19">
        <v>12</v>
      </c>
      <c r="BA19" s="19">
        <v>13</v>
      </c>
      <c r="BB19" s="19">
        <v>13</v>
      </c>
      <c r="BC19" s="19">
        <v>13</v>
      </c>
      <c r="BD19" s="19">
        <v>13</v>
      </c>
      <c r="BE19" s="19">
        <v>13</v>
      </c>
      <c r="BF19" s="19">
        <v>14</v>
      </c>
      <c r="BG19" s="19">
        <v>14</v>
      </c>
      <c r="BH19" s="19">
        <v>14</v>
      </c>
    </row>
    <row r="20" spans="1:60" x14ac:dyDescent="0.2">
      <c r="A20" s="18" t="s">
        <v>4</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v>4</v>
      </c>
      <c r="AC20" s="19">
        <v>6</v>
      </c>
      <c r="AD20" s="19">
        <v>6</v>
      </c>
      <c r="AE20" s="19">
        <v>7</v>
      </c>
      <c r="AF20" s="19">
        <v>7</v>
      </c>
      <c r="AG20" s="19">
        <v>10</v>
      </c>
      <c r="AH20" s="19">
        <v>10</v>
      </c>
      <c r="AI20" s="19">
        <v>11</v>
      </c>
      <c r="AJ20" s="19">
        <v>10</v>
      </c>
      <c r="AK20" s="19">
        <v>10</v>
      </c>
      <c r="AL20" s="19">
        <v>10</v>
      </c>
      <c r="AM20" s="19">
        <v>11</v>
      </c>
      <c r="AN20" s="19">
        <v>11</v>
      </c>
      <c r="AO20" s="19">
        <v>11</v>
      </c>
      <c r="AP20" s="19">
        <v>11</v>
      </c>
      <c r="AQ20" s="19">
        <v>11</v>
      </c>
      <c r="AR20" s="19">
        <v>10</v>
      </c>
      <c r="AS20" s="19">
        <v>11</v>
      </c>
      <c r="AT20" s="19">
        <v>11</v>
      </c>
      <c r="AU20" s="19">
        <v>11</v>
      </c>
      <c r="AV20" s="19">
        <v>11</v>
      </c>
      <c r="AW20" s="19">
        <v>11</v>
      </c>
      <c r="AX20" s="19">
        <v>11</v>
      </c>
      <c r="AY20" s="19">
        <v>13</v>
      </c>
      <c r="AZ20" s="19">
        <v>14</v>
      </c>
      <c r="BA20" s="19">
        <v>13</v>
      </c>
      <c r="BB20" s="19">
        <v>15</v>
      </c>
      <c r="BC20" s="19">
        <v>16</v>
      </c>
      <c r="BD20" s="19">
        <v>16</v>
      </c>
      <c r="BE20" s="19">
        <v>20</v>
      </c>
      <c r="BF20" s="19">
        <v>20</v>
      </c>
      <c r="BG20" s="19">
        <v>20</v>
      </c>
      <c r="BH20" s="19">
        <v>21</v>
      </c>
    </row>
    <row r="21" spans="1:60" x14ac:dyDescent="0.2">
      <c r="A21" s="9" t="s">
        <v>0</v>
      </c>
      <c r="B21" s="10">
        <f t="shared" ref="B21:AA21" si="0">SUM(B8:B20)</f>
        <v>0</v>
      </c>
      <c r="C21" s="10">
        <f t="shared" si="0"/>
        <v>0</v>
      </c>
      <c r="D21" s="10">
        <f t="shared" si="0"/>
        <v>0</v>
      </c>
      <c r="E21" s="10">
        <f t="shared" si="0"/>
        <v>0</v>
      </c>
      <c r="F21" s="10">
        <f t="shared" si="0"/>
        <v>0</v>
      </c>
      <c r="G21" s="10">
        <f t="shared" si="0"/>
        <v>0</v>
      </c>
      <c r="H21" s="10">
        <f t="shared" si="0"/>
        <v>0</v>
      </c>
      <c r="I21" s="10">
        <f t="shared" si="0"/>
        <v>0</v>
      </c>
      <c r="J21" s="10">
        <f t="shared" si="0"/>
        <v>0</v>
      </c>
      <c r="K21" s="10">
        <f t="shared" si="0"/>
        <v>0</v>
      </c>
      <c r="L21" s="10">
        <f t="shared" si="0"/>
        <v>0</v>
      </c>
      <c r="M21" s="10">
        <f t="shared" si="0"/>
        <v>0</v>
      </c>
      <c r="N21" s="10">
        <f t="shared" si="0"/>
        <v>0</v>
      </c>
      <c r="O21" s="10">
        <f t="shared" si="0"/>
        <v>0</v>
      </c>
      <c r="P21" s="10">
        <f t="shared" si="0"/>
        <v>0</v>
      </c>
      <c r="Q21" s="10">
        <f t="shared" si="0"/>
        <v>0</v>
      </c>
      <c r="R21" s="10">
        <f t="shared" si="0"/>
        <v>0</v>
      </c>
      <c r="S21" s="10">
        <f t="shared" si="0"/>
        <v>0</v>
      </c>
      <c r="T21" s="10">
        <f t="shared" si="0"/>
        <v>0</v>
      </c>
      <c r="U21" s="10">
        <f t="shared" si="0"/>
        <v>0</v>
      </c>
      <c r="V21" s="10">
        <f t="shared" si="0"/>
        <v>0</v>
      </c>
      <c r="W21" s="10">
        <f t="shared" si="0"/>
        <v>0</v>
      </c>
      <c r="X21" s="10">
        <f t="shared" si="0"/>
        <v>0</v>
      </c>
      <c r="Y21" s="10">
        <f t="shared" si="0"/>
        <v>0</v>
      </c>
      <c r="Z21" s="10">
        <f t="shared" si="0"/>
        <v>0</v>
      </c>
      <c r="AA21" s="10">
        <f t="shared" si="0"/>
        <v>0</v>
      </c>
      <c r="AB21" s="10">
        <v>31</v>
      </c>
      <c r="AC21" s="10">
        <v>33</v>
      </c>
      <c r="AD21" s="10">
        <v>35</v>
      </c>
      <c r="AE21" s="10">
        <v>44</v>
      </c>
      <c r="AF21" s="10">
        <v>53</v>
      </c>
      <c r="AG21" s="10">
        <v>64</v>
      </c>
      <c r="AH21" s="10">
        <v>73</v>
      </c>
      <c r="AI21" s="10">
        <v>92</v>
      </c>
      <c r="AJ21" s="10">
        <v>108</v>
      </c>
      <c r="AK21" s="10">
        <v>120</v>
      </c>
      <c r="AL21" s="10">
        <v>129</v>
      </c>
      <c r="AM21" s="10">
        <v>135</v>
      </c>
      <c r="AN21" s="10">
        <v>143</v>
      </c>
      <c r="AO21" s="10">
        <v>149</v>
      </c>
      <c r="AP21" s="10">
        <v>151</v>
      </c>
      <c r="AQ21" s="10">
        <v>158</v>
      </c>
      <c r="AR21" s="10">
        <v>164</v>
      </c>
      <c r="AS21" s="10">
        <v>171</v>
      </c>
      <c r="AT21" s="10">
        <v>172</v>
      </c>
      <c r="AU21" s="10">
        <v>176</v>
      </c>
      <c r="AV21" s="10">
        <v>181</v>
      </c>
      <c r="AW21" s="10">
        <v>188</v>
      </c>
      <c r="AX21" s="10">
        <v>191</v>
      </c>
      <c r="AY21" s="10">
        <v>203</v>
      </c>
      <c r="AZ21" s="10">
        <v>209</v>
      </c>
      <c r="BA21" s="10">
        <v>219</v>
      </c>
      <c r="BB21" s="10">
        <v>226</v>
      </c>
      <c r="BC21" s="10">
        <v>232</v>
      </c>
      <c r="BD21" s="10">
        <v>233</v>
      </c>
      <c r="BE21" s="10">
        <v>240</v>
      </c>
      <c r="BF21" s="10">
        <v>247</v>
      </c>
      <c r="BG21" s="10">
        <v>249</v>
      </c>
      <c r="BH21" s="10">
        <v>251</v>
      </c>
    </row>
  </sheetData>
  <phoneticPr fontId="1" type="noConversion"/>
  <hyperlinks>
    <hyperlink ref="A2" location="Sommaire!A1" display="Retour au menu &quot;Exploitation des films&quot;" xr:uid="{00000000-0004-0000-0600-000000000000}"/>
  </hyperlink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BH21"/>
  <sheetViews>
    <sheetView workbookViewId="0"/>
  </sheetViews>
  <sheetFormatPr baseColWidth="10" defaultColWidth="5.5703125" defaultRowHeight="12" x14ac:dyDescent="0.2"/>
  <cols>
    <col min="1" max="1" width="28.85546875" style="1" bestFit="1" customWidth="1"/>
    <col min="2" max="27" width="5" style="1" hidden="1" customWidth="1"/>
    <col min="28" max="38" width="6.85546875" style="1" bestFit="1" customWidth="1"/>
    <col min="39" max="51" width="6.85546875" style="4" bestFit="1" customWidth="1"/>
    <col min="52" max="60" width="6.85546875" style="1" bestFit="1" customWidth="1"/>
    <col min="61"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row>
    <row r="3" spans="1:60" s="36" customFormat="1" ht="12.75" x14ac:dyDescent="0.2">
      <c r="AM3" s="37"/>
      <c r="AN3" s="37"/>
      <c r="AO3" s="37"/>
      <c r="AP3" s="37"/>
      <c r="AQ3" s="37"/>
      <c r="AR3" s="37"/>
      <c r="AS3" s="37"/>
      <c r="AT3" s="37"/>
      <c r="AU3" s="37"/>
      <c r="AV3" s="37"/>
      <c r="AW3" s="37"/>
      <c r="AX3" s="37"/>
      <c r="AY3" s="37"/>
      <c r="AZ3" s="37"/>
      <c r="BA3" s="37"/>
      <c r="BB3" s="37"/>
      <c r="BC3" s="37"/>
      <c r="BD3" s="37"/>
      <c r="BE3" s="37"/>
    </row>
    <row r="4" spans="1:60" s="36" customFormat="1" ht="12.75" x14ac:dyDescent="0.2">
      <c r="AM4" s="37"/>
      <c r="AN4" s="37"/>
      <c r="AO4" s="37"/>
      <c r="AP4" s="37"/>
      <c r="AQ4" s="37"/>
      <c r="AR4" s="37"/>
      <c r="AS4" s="37"/>
      <c r="AT4" s="37"/>
      <c r="AU4" s="37"/>
      <c r="AV4" s="37"/>
      <c r="AW4" s="37"/>
      <c r="AX4" s="37"/>
      <c r="AY4" s="37"/>
      <c r="AZ4" s="37"/>
      <c r="BA4" s="37"/>
      <c r="BB4" s="37"/>
      <c r="BC4" s="37"/>
      <c r="BD4" s="37"/>
      <c r="BE4" s="37"/>
    </row>
    <row r="5" spans="1:60" ht="12.75" x14ac:dyDescent="0.2">
      <c r="A5" s="3" t="s">
        <v>12</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11"/>
      <c r="B7" s="12">
        <v>1966</v>
      </c>
      <c r="C7" s="12">
        <v>1967</v>
      </c>
      <c r="D7" s="12">
        <v>1968</v>
      </c>
      <c r="E7" s="12">
        <v>1969</v>
      </c>
      <c r="F7" s="12">
        <v>1970</v>
      </c>
      <c r="G7" s="12">
        <v>1971</v>
      </c>
      <c r="H7" s="12">
        <v>1972</v>
      </c>
      <c r="I7" s="12">
        <v>1973</v>
      </c>
      <c r="J7" s="12">
        <v>1974</v>
      </c>
      <c r="K7" s="12">
        <v>1975</v>
      </c>
      <c r="L7" s="12">
        <v>1976</v>
      </c>
      <c r="M7" s="12">
        <v>1977</v>
      </c>
      <c r="N7" s="12">
        <v>1978</v>
      </c>
      <c r="O7" s="12">
        <v>1979</v>
      </c>
      <c r="P7" s="12">
        <v>1980</v>
      </c>
      <c r="Q7" s="12">
        <v>1981</v>
      </c>
      <c r="R7" s="12">
        <v>1982</v>
      </c>
      <c r="S7" s="12">
        <v>1983</v>
      </c>
      <c r="T7" s="12">
        <v>1984</v>
      </c>
      <c r="U7" s="12">
        <v>1985</v>
      </c>
      <c r="V7" s="12">
        <v>1986</v>
      </c>
      <c r="W7" s="12">
        <v>1987</v>
      </c>
      <c r="X7" s="12">
        <v>1988</v>
      </c>
      <c r="Y7" s="12">
        <v>1989</v>
      </c>
      <c r="Z7" s="12">
        <v>1990</v>
      </c>
      <c r="AA7" s="12">
        <v>1991</v>
      </c>
      <c r="AB7" s="12">
        <v>1992</v>
      </c>
      <c r="AC7" s="12">
        <v>1993</v>
      </c>
      <c r="AD7" s="12">
        <v>1994</v>
      </c>
      <c r="AE7" s="12">
        <v>1995</v>
      </c>
      <c r="AF7" s="12">
        <v>1996</v>
      </c>
      <c r="AG7" s="12">
        <v>1997</v>
      </c>
      <c r="AH7" s="12">
        <v>1998</v>
      </c>
      <c r="AI7" s="12">
        <v>1999</v>
      </c>
      <c r="AJ7" s="12">
        <v>2000</v>
      </c>
      <c r="AK7" s="12">
        <v>2001</v>
      </c>
      <c r="AL7" s="12">
        <v>2002</v>
      </c>
      <c r="AM7" s="12">
        <v>2003</v>
      </c>
      <c r="AN7" s="12">
        <v>2004</v>
      </c>
      <c r="AO7" s="12">
        <v>2005</v>
      </c>
      <c r="AP7" s="12">
        <v>2006</v>
      </c>
      <c r="AQ7" s="12">
        <v>2007</v>
      </c>
      <c r="AR7" s="12">
        <v>2008</v>
      </c>
      <c r="AS7" s="12">
        <v>2009</v>
      </c>
      <c r="AT7" s="12">
        <v>2010</v>
      </c>
      <c r="AU7" s="12">
        <v>2011</v>
      </c>
      <c r="AV7" s="12">
        <v>2012</v>
      </c>
      <c r="AW7" s="12">
        <v>2013</v>
      </c>
      <c r="AX7" s="12">
        <v>2014</v>
      </c>
      <c r="AY7" s="12">
        <v>2015</v>
      </c>
      <c r="AZ7" s="12">
        <v>2016</v>
      </c>
      <c r="BA7" s="12">
        <v>2017</v>
      </c>
      <c r="BB7" s="12">
        <v>2018</v>
      </c>
      <c r="BC7" s="12">
        <v>2019</v>
      </c>
      <c r="BD7" s="12">
        <v>2020</v>
      </c>
      <c r="BE7" s="12">
        <v>2021</v>
      </c>
      <c r="BF7" s="12">
        <v>2022</v>
      </c>
      <c r="BG7" s="12">
        <v>2023</v>
      </c>
      <c r="BH7" s="12">
        <v>2024</v>
      </c>
    </row>
    <row r="8" spans="1:60" x14ac:dyDescent="0.2">
      <c r="A8" s="13" t="s">
        <v>72</v>
      </c>
      <c r="B8" s="26"/>
      <c r="C8" s="26"/>
      <c r="D8" s="26"/>
      <c r="E8" s="26"/>
      <c r="F8" s="26"/>
      <c r="G8" s="26"/>
      <c r="H8" s="26"/>
      <c r="I8" s="26"/>
      <c r="J8" s="26"/>
      <c r="K8" s="26"/>
      <c r="L8" s="26"/>
      <c r="M8" s="26"/>
      <c r="N8" s="26"/>
      <c r="O8" s="26"/>
      <c r="P8" s="26"/>
      <c r="Q8" s="26"/>
      <c r="R8" s="26"/>
      <c r="S8" s="26"/>
      <c r="T8" s="26"/>
      <c r="U8" s="26"/>
      <c r="V8" s="26"/>
      <c r="W8" s="26"/>
      <c r="X8" s="26"/>
      <c r="Y8" s="26"/>
      <c r="Z8" s="26"/>
      <c r="AA8" s="26"/>
      <c r="AB8" s="26">
        <v>476935</v>
      </c>
      <c r="AC8" s="26">
        <v>486367</v>
      </c>
      <c r="AD8" s="26">
        <v>493463</v>
      </c>
      <c r="AE8" s="26">
        <v>486970</v>
      </c>
      <c r="AF8" s="26">
        <v>520139</v>
      </c>
      <c r="AG8" s="26">
        <v>553251</v>
      </c>
      <c r="AH8" s="26">
        <v>587411</v>
      </c>
      <c r="AI8" s="26">
        <v>594707</v>
      </c>
      <c r="AJ8" s="26">
        <v>623848</v>
      </c>
      <c r="AK8" s="26">
        <v>707806</v>
      </c>
      <c r="AL8" s="26">
        <v>719367</v>
      </c>
      <c r="AM8" s="26">
        <v>719065</v>
      </c>
      <c r="AN8" s="26">
        <v>710716</v>
      </c>
      <c r="AO8" s="26">
        <v>709982</v>
      </c>
      <c r="AP8" s="26">
        <v>712686</v>
      </c>
      <c r="AQ8" s="26">
        <v>721759</v>
      </c>
      <c r="AR8" s="26">
        <v>762532</v>
      </c>
      <c r="AS8" s="26">
        <v>797125</v>
      </c>
      <c r="AT8" s="26">
        <v>807068</v>
      </c>
      <c r="AU8" s="26">
        <v>835310</v>
      </c>
      <c r="AV8" s="26">
        <v>875487</v>
      </c>
      <c r="AW8" s="26">
        <v>891283</v>
      </c>
      <c r="AX8" s="26">
        <v>932447</v>
      </c>
      <c r="AY8" s="26">
        <v>948774</v>
      </c>
      <c r="AZ8" s="26">
        <v>965568</v>
      </c>
      <c r="BA8" s="26">
        <v>994376</v>
      </c>
      <c r="BB8" s="26">
        <v>1053273</v>
      </c>
      <c r="BC8" s="26">
        <v>1056496</v>
      </c>
      <c r="BD8" s="26">
        <v>520604</v>
      </c>
      <c r="BE8" s="26">
        <v>607029</v>
      </c>
      <c r="BF8" s="26">
        <v>1016052</v>
      </c>
      <c r="BG8" s="26">
        <v>1001529</v>
      </c>
      <c r="BH8" s="26">
        <v>1036678</v>
      </c>
    </row>
    <row r="9" spans="1:60" x14ac:dyDescent="0.2">
      <c r="A9" s="13" t="s">
        <v>73</v>
      </c>
      <c r="B9" s="26"/>
      <c r="C9" s="26"/>
      <c r="D9" s="26"/>
      <c r="E9" s="26"/>
      <c r="F9" s="26"/>
      <c r="G9" s="26"/>
      <c r="H9" s="26"/>
      <c r="I9" s="26"/>
      <c r="J9" s="26"/>
      <c r="K9" s="26"/>
      <c r="L9" s="26"/>
      <c r="M9" s="26"/>
      <c r="N9" s="26"/>
      <c r="O9" s="26"/>
      <c r="P9" s="26"/>
      <c r="Q9" s="26"/>
      <c r="R9" s="26"/>
      <c r="S9" s="26"/>
      <c r="T9" s="26"/>
      <c r="U9" s="26"/>
      <c r="V9" s="26"/>
      <c r="W9" s="26"/>
      <c r="X9" s="26"/>
      <c r="Y9" s="26"/>
      <c r="Z9" s="26"/>
      <c r="AA9" s="26"/>
      <c r="AB9" s="26">
        <v>155850</v>
      </c>
      <c r="AC9" s="26">
        <v>163938</v>
      </c>
      <c r="AD9" s="26">
        <v>166251</v>
      </c>
      <c r="AE9" s="26">
        <v>174926</v>
      </c>
      <c r="AF9" s="26">
        <v>182727</v>
      </c>
      <c r="AG9" s="26">
        <v>187764</v>
      </c>
      <c r="AH9" s="26">
        <v>190716</v>
      </c>
      <c r="AI9" s="26">
        <v>198628</v>
      </c>
      <c r="AJ9" s="26">
        <v>239929</v>
      </c>
      <c r="AK9" s="26">
        <v>239129</v>
      </c>
      <c r="AL9" s="26">
        <v>231708</v>
      </c>
      <c r="AM9" s="26">
        <v>244136</v>
      </c>
      <c r="AN9" s="26">
        <v>250132</v>
      </c>
      <c r="AO9" s="26">
        <v>261908</v>
      </c>
      <c r="AP9" s="26">
        <v>269022</v>
      </c>
      <c r="AQ9" s="26">
        <v>256021</v>
      </c>
      <c r="AR9" s="26">
        <v>282355</v>
      </c>
      <c r="AS9" s="26">
        <v>279295</v>
      </c>
      <c r="AT9" s="26">
        <v>281358</v>
      </c>
      <c r="AU9" s="26">
        <v>289338</v>
      </c>
      <c r="AV9" s="26">
        <v>289510</v>
      </c>
      <c r="AW9" s="26">
        <v>309495</v>
      </c>
      <c r="AX9" s="26">
        <v>327018</v>
      </c>
      <c r="AY9" s="26">
        <v>344766</v>
      </c>
      <c r="AZ9" s="26">
        <v>355737</v>
      </c>
      <c r="BA9" s="26">
        <v>357708</v>
      </c>
      <c r="BB9" s="26">
        <v>363946</v>
      </c>
      <c r="BC9" s="26">
        <v>369227</v>
      </c>
      <c r="BD9" s="26">
        <v>185290</v>
      </c>
      <c r="BE9" s="26">
        <v>206543</v>
      </c>
      <c r="BF9" s="26">
        <v>351583</v>
      </c>
      <c r="BG9" s="26">
        <v>349940</v>
      </c>
      <c r="BH9" s="26">
        <v>355170</v>
      </c>
    </row>
    <row r="10" spans="1:60" x14ac:dyDescent="0.2">
      <c r="A10" s="13" t="s">
        <v>1</v>
      </c>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v>154152</v>
      </c>
      <c r="AC10" s="26">
        <v>155806</v>
      </c>
      <c r="AD10" s="26">
        <v>162502</v>
      </c>
      <c r="AE10" s="26">
        <v>170536</v>
      </c>
      <c r="AF10" s="26">
        <v>172377</v>
      </c>
      <c r="AG10" s="26">
        <v>176182</v>
      </c>
      <c r="AH10" s="26">
        <v>170708</v>
      </c>
      <c r="AI10" s="26">
        <v>203450</v>
      </c>
      <c r="AJ10" s="26">
        <v>220213</v>
      </c>
      <c r="AK10" s="26">
        <v>214433</v>
      </c>
      <c r="AL10" s="26">
        <v>200373</v>
      </c>
      <c r="AM10" s="26">
        <v>219336</v>
      </c>
      <c r="AN10" s="26">
        <v>231184</v>
      </c>
      <c r="AO10" s="26">
        <v>249519</v>
      </c>
      <c r="AP10" s="26">
        <v>273708</v>
      </c>
      <c r="AQ10" s="26">
        <v>278387</v>
      </c>
      <c r="AR10" s="26">
        <v>297516</v>
      </c>
      <c r="AS10" s="26">
        <v>307654</v>
      </c>
      <c r="AT10" s="26">
        <v>309534</v>
      </c>
      <c r="AU10" s="26">
        <v>319699</v>
      </c>
      <c r="AV10" s="26">
        <v>326706</v>
      </c>
      <c r="AW10" s="26">
        <v>335091</v>
      </c>
      <c r="AX10" s="26">
        <v>339955</v>
      </c>
      <c r="AY10" s="26">
        <v>352196</v>
      </c>
      <c r="AZ10" s="26">
        <v>361438</v>
      </c>
      <c r="BA10" s="26">
        <v>364273</v>
      </c>
      <c r="BB10" s="26">
        <v>364751</v>
      </c>
      <c r="BC10" s="26">
        <v>380476</v>
      </c>
      <c r="BD10" s="26">
        <v>195773</v>
      </c>
      <c r="BE10" s="26">
        <v>241323</v>
      </c>
      <c r="BF10" s="26">
        <v>393882</v>
      </c>
      <c r="BG10" s="26">
        <v>396561</v>
      </c>
      <c r="BH10" s="26">
        <v>411371</v>
      </c>
    </row>
    <row r="11" spans="1:60" x14ac:dyDescent="0.2">
      <c r="A11" s="13" t="s">
        <v>74</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v>117170</v>
      </c>
      <c r="AC11" s="26">
        <v>111137</v>
      </c>
      <c r="AD11" s="26">
        <v>122489</v>
      </c>
      <c r="AE11" s="26">
        <v>130178</v>
      </c>
      <c r="AF11" s="26">
        <v>145625</v>
      </c>
      <c r="AG11" s="26">
        <v>148879</v>
      </c>
      <c r="AH11" s="26">
        <v>151943</v>
      </c>
      <c r="AI11" s="26">
        <v>166923</v>
      </c>
      <c r="AJ11" s="26">
        <v>176019</v>
      </c>
      <c r="AK11" s="26">
        <v>192486</v>
      </c>
      <c r="AL11" s="26">
        <v>185646</v>
      </c>
      <c r="AM11" s="26">
        <v>192592</v>
      </c>
      <c r="AN11" s="26">
        <v>195131</v>
      </c>
      <c r="AO11" s="26">
        <v>195592</v>
      </c>
      <c r="AP11" s="26">
        <v>204829</v>
      </c>
      <c r="AQ11" s="26">
        <v>204537</v>
      </c>
      <c r="AR11" s="26">
        <v>227594</v>
      </c>
      <c r="AS11" s="26">
        <v>244071</v>
      </c>
      <c r="AT11" s="26">
        <v>246883</v>
      </c>
      <c r="AU11" s="26">
        <v>251144</v>
      </c>
      <c r="AV11" s="26">
        <v>252435</v>
      </c>
      <c r="AW11" s="26">
        <v>253524</v>
      </c>
      <c r="AX11" s="26">
        <v>258028</v>
      </c>
      <c r="AY11" s="26">
        <v>259343</v>
      </c>
      <c r="AZ11" s="26">
        <v>258443</v>
      </c>
      <c r="BA11" s="26">
        <v>254711</v>
      </c>
      <c r="BB11" s="26">
        <v>265656</v>
      </c>
      <c r="BC11" s="26">
        <v>280136</v>
      </c>
      <c r="BD11" s="26">
        <v>139646</v>
      </c>
      <c r="BE11" s="26">
        <v>166641</v>
      </c>
      <c r="BF11" s="26">
        <v>273113</v>
      </c>
      <c r="BG11" s="26">
        <v>271965</v>
      </c>
      <c r="BH11" s="26">
        <v>286314</v>
      </c>
    </row>
    <row r="12" spans="1:60" x14ac:dyDescent="0.2">
      <c r="A12" s="13" t="s">
        <v>5</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v>7582</v>
      </c>
      <c r="AC12" s="26">
        <v>8105</v>
      </c>
      <c r="AD12" s="26">
        <v>8310</v>
      </c>
      <c r="AE12" s="26">
        <v>9081</v>
      </c>
      <c r="AF12" s="26">
        <v>8960</v>
      </c>
      <c r="AG12" s="26">
        <v>9217</v>
      </c>
      <c r="AH12" s="26">
        <v>10576</v>
      </c>
      <c r="AI12" s="26">
        <v>10993</v>
      </c>
      <c r="AJ12" s="26">
        <v>11503</v>
      </c>
      <c r="AK12" s="26">
        <v>12651</v>
      </c>
      <c r="AL12" s="26">
        <v>13100</v>
      </c>
      <c r="AM12" s="26">
        <v>14948</v>
      </c>
      <c r="AN12" s="26">
        <v>16048</v>
      </c>
      <c r="AO12" s="26">
        <v>14286</v>
      </c>
      <c r="AP12" s="26">
        <v>13567</v>
      </c>
      <c r="AQ12" s="26">
        <v>11254</v>
      </c>
      <c r="AR12" s="26">
        <v>10803</v>
      </c>
      <c r="AS12" s="26">
        <v>11262</v>
      </c>
      <c r="AT12" s="26">
        <v>11112</v>
      </c>
      <c r="AU12" s="26">
        <v>10920</v>
      </c>
      <c r="AV12" s="26">
        <v>9318</v>
      </c>
      <c r="AW12" s="26">
        <v>9740</v>
      </c>
      <c r="AX12" s="26">
        <v>11076</v>
      </c>
      <c r="AY12" s="26">
        <v>20760</v>
      </c>
      <c r="AZ12" s="26">
        <v>23185</v>
      </c>
      <c r="BA12" s="26">
        <v>21932</v>
      </c>
      <c r="BB12" s="26">
        <v>21337</v>
      </c>
      <c r="BC12" s="26">
        <v>25128</v>
      </c>
      <c r="BD12" s="26">
        <v>14493</v>
      </c>
      <c r="BE12" s="26">
        <v>18276</v>
      </c>
      <c r="BF12" s="26">
        <v>30326</v>
      </c>
      <c r="BG12" s="26">
        <v>33510</v>
      </c>
      <c r="BH12" s="26">
        <v>33901</v>
      </c>
    </row>
    <row r="13" spans="1:60" x14ac:dyDescent="0.2">
      <c r="A13" s="13" t="s">
        <v>77</v>
      </c>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v>248416</v>
      </c>
      <c r="AC13" s="26">
        <v>243408</v>
      </c>
      <c r="AD13" s="26">
        <v>257895</v>
      </c>
      <c r="AE13" s="26">
        <v>295117</v>
      </c>
      <c r="AF13" s="26">
        <v>302691</v>
      </c>
      <c r="AG13" s="26">
        <v>312385</v>
      </c>
      <c r="AH13" s="26">
        <v>321758</v>
      </c>
      <c r="AI13" s="26">
        <v>345746</v>
      </c>
      <c r="AJ13" s="26">
        <v>379866</v>
      </c>
      <c r="AK13" s="26">
        <v>441557</v>
      </c>
      <c r="AL13" s="26">
        <v>441224</v>
      </c>
      <c r="AM13" s="26">
        <v>454379</v>
      </c>
      <c r="AN13" s="26">
        <v>481074</v>
      </c>
      <c r="AO13" s="26">
        <v>485148</v>
      </c>
      <c r="AP13" s="26">
        <v>506542</v>
      </c>
      <c r="AQ13" s="26">
        <v>534034</v>
      </c>
      <c r="AR13" s="26">
        <v>560368</v>
      </c>
      <c r="AS13" s="26">
        <v>549418</v>
      </c>
      <c r="AT13" s="26">
        <v>547398</v>
      </c>
      <c r="AU13" s="26">
        <v>565411</v>
      </c>
      <c r="AV13" s="26">
        <v>594013</v>
      </c>
      <c r="AW13" s="26">
        <v>601194</v>
      </c>
      <c r="AX13" s="26">
        <v>609794</v>
      </c>
      <c r="AY13" s="26">
        <v>616320</v>
      </c>
      <c r="AZ13" s="26">
        <v>640074</v>
      </c>
      <c r="BA13" s="26">
        <v>639791</v>
      </c>
      <c r="BB13" s="26">
        <v>643585</v>
      </c>
      <c r="BC13" s="26">
        <v>652583</v>
      </c>
      <c r="BD13" s="26">
        <v>321464</v>
      </c>
      <c r="BE13" s="26">
        <v>389372</v>
      </c>
      <c r="BF13" s="26">
        <v>653555</v>
      </c>
      <c r="BG13" s="26">
        <v>662735</v>
      </c>
      <c r="BH13" s="26">
        <v>679268</v>
      </c>
    </row>
    <row r="14" spans="1:60" x14ac:dyDescent="0.2">
      <c r="A14" s="13" t="s">
        <v>78</v>
      </c>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v>222890</v>
      </c>
      <c r="AC14" s="26">
        <v>230390</v>
      </c>
      <c r="AD14" s="26">
        <v>239991</v>
      </c>
      <c r="AE14" s="26">
        <v>249901</v>
      </c>
      <c r="AF14" s="26">
        <v>287381</v>
      </c>
      <c r="AG14" s="26">
        <v>321530</v>
      </c>
      <c r="AH14" s="26">
        <v>300155</v>
      </c>
      <c r="AI14" s="26">
        <v>328339</v>
      </c>
      <c r="AJ14" s="26">
        <v>377324</v>
      </c>
      <c r="AK14" s="26">
        <v>400596</v>
      </c>
      <c r="AL14" s="26">
        <v>411323</v>
      </c>
      <c r="AM14" s="26">
        <v>416812</v>
      </c>
      <c r="AN14" s="26">
        <v>450718</v>
      </c>
      <c r="AO14" s="26">
        <v>442628</v>
      </c>
      <c r="AP14" s="26">
        <v>464493</v>
      </c>
      <c r="AQ14" s="26">
        <v>473296</v>
      </c>
      <c r="AR14" s="26">
        <v>485213</v>
      </c>
      <c r="AS14" s="26">
        <v>486371</v>
      </c>
      <c r="AT14" s="26">
        <v>510282</v>
      </c>
      <c r="AU14" s="26">
        <v>531257</v>
      </c>
      <c r="AV14" s="26">
        <v>539475</v>
      </c>
      <c r="AW14" s="26">
        <v>538594</v>
      </c>
      <c r="AX14" s="26">
        <v>563096</v>
      </c>
      <c r="AY14" s="26">
        <v>588908</v>
      </c>
      <c r="AZ14" s="26">
        <v>613436</v>
      </c>
      <c r="BA14" s="26">
        <v>613837</v>
      </c>
      <c r="BB14" s="26">
        <v>646684</v>
      </c>
      <c r="BC14" s="26">
        <v>641124</v>
      </c>
      <c r="BD14" s="26">
        <v>316060</v>
      </c>
      <c r="BE14" s="26">
        <v>385073</v>
      </c>
      <c r="BF14" s="26">
        <v>629685</v>
      </c>
      <c r="BG14" s="26">
        <v>616809</v>
      </c>
      <c r="BH14" s="26">
        <v>635035</v>
      </c>
    </row>
    <row r="15" spans="1:60" x14ac:dyDescent="0.2">
      <c r="A15" s="13" t="s">
        <v>2</v>
      </c>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v>991767</v>
      </c>
      <c r="AC15" s="26">
        <v>989043</v>
      </c>
      <c r="AD15" s="26">
        <v>1014140</v>
      </c>
      <c r="AE15" s="26">
        <v>1026406</v>
      </c>
      <c r="AF15" s="26">
        <v>1127807</v>
      </c>
      <c r="AG15" s="26">
        <v>1179451</v>
      </c>
      <c r="AH15" s="26">
        <v>1181312.81</v>
      </c>
      <c r="AI15" s="26">
        <v>1281058</v>
      </c>
      <c r="AJ15" s="26">
        <v>1289024</v>
      </c>
      <c r="AK15" s="26">
        <v>1315894</v>
      </c>
      <c r="AL15" s="26">
        <v>1401539</v>
      </c>
      <c r="AM15" s="26">
        <v>1477243</v>
      </c>
      <c r="AN15" s="26">
        <v>1533514</v>
      </c>
      <c r="AO15" s="26">
        <v>1565820</v>
      </c>
      <c r="AP15" s="26">
        <v>1580357</v>
      </c>
      <c r="AQ15" s="26">
        <v>1574380</v>
      </c>
      <c r="AR15" s="26">
        <v>1612235</v>
      </c>
      <c r="AS15" s="26">
        <v>1624381</v>
      </c>
      <c r="AT15" s="26">
        <v>1639022</v>
      </c>
      <c r="AU15" s="26">
        <v>1671522</v>
      </c>
      <c r="AV15" s="26">
        <v>1677103</v>
      </c>
      <c r="AW15" s="26">
        <v>1685836</v>
      </c>
      <c r="AX15" s="26">
        <v>1773577</v>
      </c>
      <c r="AY15" s="26">
        <v>1814056</v>
      </c>
      <c r="AZ15" s="26">
        <v>1840944</v>
      </c>
      <c r="BA15" s="26">
        <v>1877993</v>
      </c>
      <c r="BB15" s="26">
        <v>1937707</v>
      </c>
      <c r="BC15" s="26">
        <v>1984372</v>
      </c>
      <c r="BD15" s="26">
        <v>966447</v>
      </c>
      <c r="BE15" s="26">
        <v>1116251</v>
      </c>
      <c r="BF15" s="26">
        <v>1856148</v>
      </c>
      <c r="BG15" s="26">
        <v>1851018</v>
      </c>
      <c r="BH15" s="26">
        <v>1888603</v>
      </c>
    </row>
    <row r="16" spans="1:60" x14ac:dyDescent="0.2">
      <c r="A16" s="13" t="s">
        <v>75</v>
      </c>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v>162805</v>
      </c>
      <c r="AC16" s="26">
        <v>164028</v>
      </c>
      <c r="AD16" s="26">
        <v>159195</v>
      </c>
      <c r="AE16" s="26">
        <v>166842</v>
      </c>
      <c r="AF16" s="26">
        <v>187320</v>
      </c>
      <c r="AG16" s="26">
        <v>197521</v>
      </c>
      <c r="AH16" s="26">
        <v>211164</v>
      </c>
      <c r="AI16" s="26">
        <v>253916</v>
      </c>
      <c r="AJ16" s="26">
        <v>266269</v>
      </c>
      <c r="AK16" s="26">
        <v>275740</v>
      </c>
      <c r="AL16" s="26">
        <v>280051</v>
      </c>
      <c r="AM16" s="26">
        <v>268376</v>
      </c>
      <c r="AN16" s="26">
        <v>301083</v>
      </c>
      <c r="AO16" s="26">
        <v>286972</v>
      </c>
      <c r="AP16" s="26">
        <v>290510</v>
      </c>
      <c r="AQ16" s="26">
        <v>290081</v>
      </c>
      <c r="AR16" s="26">
        <v>299340</v>
      </c>
      <c r="AS16" s="26">
        <v>322300</v>
      </c>
      <c r="AT16" s="26">
        <v>334404</v>
      </c>
      <c r="AU16" s="26">
        <v>345996</v>
      </c>
      <c r="AV16" s="26">
        <v>348453</v>
      </c>
      <c r="AW16" s="26">
        <v>353474</v>
      </c>
      <c r="AX16" s="26">
        <v>359907</v>
      </c>
      <c r="AY16" s="26">
        <v>360263</v>
      </c>
      <c r="AZ16" s="26">
        <v>359762</v>
      </c>
      <c r="BA16" s="26">
        <v>371826</v>
      </c>
      <c r="BB16" s="26">
        <v>383297</v>
      </c>
      <c r="BC16" s="26">
        <v>391597</v>
      </c>
      <c r="BD16" s="26">
        <v>190395</v>
      </c>
      <c r="BE16" s="26">
        <v>225203</v>
      </c>
      <c r="BF16" s="26">
        <v>367511</v>
      </c>
      <c r="BG16" s="26">
        <v>374232</v>
      </c>
      <c r="BH16" s="26">
        <v>390485</v>
      </c>
    </row>
    <row r="17" spans="1:60" x14ac:dyDescent="0.2">
      <c r="A17" s="13" t="s">
        <v>79</v>
      </c>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v>315414</v>
      </c>
      <c r="AC17" s="26">
        <v>315685</v>
      </c>
      <c r="AD17" s="26">
        <v>329323</v>
      </c>
      <c r="AE17" s="26">
        <v>336224</v>
      </c>
      <c r="AF17" s="26">
        <v>365150</v>
      </c>
      <c r="AG17" s="26">
        <v>398785</v>
      </c>
      <c r="AH17" s="26">
        <v>420130</v>
      </c>
      <c r="AI17" s="26">
        <v>471182</v>
      </c>
      <c r="AJ17" s="26">
        <v>499233</v>
      </c>
      <c r="AK17" s="26">
        <v>508915</v>
      </c>
      <c r="AL17" s="26">
        <v>514380</v>
      </c>
      <c r="AM17" s="26">
        <v>528617</v>
      </c>
      <c r="AN17" s="26">
        <v>572934</v>
      </c>
      <c r="AO17" s="26">
        <v>564875</v>
      </c>
      <c r="AP17" s="26">
        <v>594675</v>
      </c>
      <c r="AQ17" s="26">
        <v>596482</v>
      </c>
      <c r="AR17" s="26">
        <v>628373</v>
      </c>
      <c r="AS17" s="26">
        <v>640588</v>
      </c>
      <c r="AT17" s="26">
        <v>663994</v>
      </c>
      <c r="AU17" s="26">
        <v>691063</v>
      </c>
      <c r="AV17" s="26">
        <v>692718</v>
      </c>
      <c r="AW17" s="26">
        <v>729001</v>
      </c>
      <c r="AX17" s="26">
        <v>758464</v>
      </c>
      <c r="AY17" s="26">
        <v>781236</v>
      </c>
      <c r="AZ17" s="26">
        <v>831774</v>
      </c>
      <c r="BA17" s="26">
        <v>863288</v>
      </c>
      <c r="BB17" s="26">
        <v>882571</v>
      </c>
      <c r="BC17" s="26">
        <v>892263</v>
      </c>
      <c r="BD17" s="26">
        <v>444271</v>
      </c>
      <c r="BE17" s="26">
        <v>546884</v>
      </c>
      <c r="BF17" s="26">
        <v>909643</v>
      </c>
      <c r="BG17" s="26">
        <v>896347</v>
      </c>
      <c r="BH17" s="26">
        <v>903288</v>
      </c>
    </row>
    <row r="18" spans="1:60" x14ac:dyDescent="0.2">
      <c r="A18" s="13" t="s">
        <v>80</v>
      </c>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v>257588</v>
      </c>
      <c r="AC18" s="26">
        <v>279055</v>
      </c>
      <c r="AD18" s="26">
        <v>288197</v>
      </c>
      <c r="AE18" s="26">
        <v>296615</v>
      </c>
      <c r="AF18" s="26">
        <v>307972</v>
      </c>
      <c r="AG18" s="26">
        <v>337304</v>
      </c>
      <c r="AH18" s="26">
        <v>383197</v>
      </c>
      <c r="AI18" s="26">
        <v>406783</v>
      </c>
      <c r="AJ18" s="26">
        <v>418613</v>
      </c>
      <c r="AK18" s="26">
        <v>443195</v>
      </c>
      <c r="AL18" s="26">
        <v>453465</v>
      </c>
      <c r="AM18" s="26">
        <v>455697</v>
      </c>
      <c r="AN18" s="26">
        <v>502047</v>
      </c>
      <c r="AO18" s="26">
        <v>500691</v>
      </c>
      <c r="AP18" s="26">
        <v>510963</v>
      </c>
      <c r="AQ18" s="26">
        <v>519850</v>
      </c>
      <c r="AR18" s="26">
        <v>552742</v>
      </c>
      <c r="AS18" s="26">
        <v>567798</v>
      </c>
      <c r="AT18" s="26">
        <v>591541</v>
      </c>
      <c r="AU18" s="26">
        <v>612587</v>
      </c>
      <c r="AV18" s="26">
        <v>613257</v>
      </c>
      <c r="AW18" s="26">
        <v>621038</v>
      </c>
      <c r="AX18" s="26">
        <v>659054</v>
      </c>
      <c r="AY18" s="26">
        <v>664768</v>
      </c>
      <c r="AZ18" s="26">
        <v>682634</v>
      </c>
      <c r="BA18" s="26">
        <v>708863</v>
      </c>
      <c r="BB18" s="26">
        <v>757826</v>
      </c>
      <c r="BC18" s="26">
        <v>745195</v>
      </c>
      <c r="BD18" s="26">
        <v>364047</v>
      </c>
      <c r="BE18" s="26">
        <v>448916</v>
      </c>
      <c r="BF18" s="26">
        <v>747317</v>
      </c>
      <c r="BG18" s="26">
        <v>728435</v>
      </c>
      <c r="BH18" s="26">
        <v>755179</v>
      </c>
    </row>
    <row r="19" spans="1:60" x14ac:dyDescent="0.2">
      <c r="A19" s="13" t="s">
        <v>3</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v>155850</v>
      </c>
      <c r="AC19" s="26">
        <v>157701</v>
      </c>
      <c r="AD19" s="26">
        <v>157968</v>
      </c>
      <c r="AE19" s="26">
        <v>174174</v>
      </c>
      <c r="AF19" s="26">
        <v>206406</v>
      </c>
      <c r="AG19" s="26">
        <v>240704</v>
      </c>
      <c r="AH19" s="26">
        <v>231540</v>
      </c>
      <c r="AI19" s="26">
        <v>254698</v>
      </c>
      <c r="AJ19" s="26">
        <v>258095</v>
      </c>
      <c r="AK19" s="26">
        <v>282039</v>
      </c>
      <c r="AL19" s="26">
        <v>281475</v>
      </c>
      <c r="AM19" s="26">
        <v>279817</v>
      </c>
      <c r="AN19" s="26">
        <v>288909</v>
      </c>
      <c r="AO19" s="26">
        <v>287510</v>
      </c>
      <c r="AP19" s="26">
        <v>294052</v>
      </c>
      <c r="AQ19" s="26">
        <v>314860</v>
      </c>
      <c r="AR19" s="26">
        <v>328603</v>
      </c>
      <c r="AS19" s="26">
        <v>338101</v>
      </c>
      <c r="AT19" s="26">
        <v>360027</v>
      </c>
      <c r="AU19" s="26">
        <v>369580</v>
      </c>
      <c r="AV19" s="26">
        <v>372665</v>
      </c>
      <c r="AW19" s="26">
        <v>375955</v>
      </c>
      <c r="AX19" s="26">
        <v>394252</v>
      </c>
      <c r="AY19" s="26">
        <v>411418</v>
      </c>
      <c r="AZ19" s="26">
        <v>428124</v>
      </c>
      <c r="BA19" s="26">
        <v>428323</v>
      </c>
      <c r="BB19" s="26">
        <v>438315</v>
      </c>
      <c r="BC19" s="26">
        <v>437447</v>
      </c>
      <c r="BD19" s="26">
        <v>215023</v>
      </c>
      <c r="BE19" s="26">
        <v>262815</v>
      </c>
      <c r="BF19" s="26">
        <v>431514</v>
      </c>
      <c r="BG19" s="26">
        <v>431167</v>
      </c>
      <c r="BH19" s="26">
        <v>450620</v>
      </c>
    </row>
    <row r="20" spans="1:60" x14ac:dyDescent="0.2">
      <c r="A20" s="13" t="s">
        <v>4</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v>335267</v>
      </c>
      <c r="AC20" s="26">
        <v>354121</v>
      </c>
      <c r="AD20" s="26">
        <v>378883</v>
      </c>
      <c r="AE20" s="26">
        <v>392499</v>
      </c>
      <c r="AF20" s="26">
        <v>396624</v>
      </c>
      <c r="AG20" s="26">
        <v>430449</v>
      </c>
      <c r="AH20" s="26">
        <v>466962</v>
      </c>
      <c r="AI20" s="26">
        <v>482574</v>
      </c>
      <c r="AJ20" s="26">
        <v>490232</v>
      </c>
      <c r="AK20" s="26">
        <v>499285</v>
      </c>
      <c r="AL20" s="26">
        <v>490588</v>
      </c>
      <c r="AM20" s="26">
        <v>502499</v>
      </c>
      <c r="AN20" s="26">
        <v>520925</v>
      </c>
      <c r="AO20" s="26">
        <v>522903</v>
      </c>
      <c r="AP20" s="26">
        <v>524280</v>
      </c>
      <c r="AQ20" s="26">
        <v>520979</v>
      </c>
      <c r="AR20" s="26">
        <v>534011</v>
      </c>
      <c r="AS20" s="26">
        <v>540188</v>
      </c>
      <c r="AT20" s="26">
        <v>542196</v>
      </c>
      <c r="AU20" s="26">
        <v>550669</v>
      </c>
      <c r="AV20" s="26">
        <v>560461</v>
      </c>
      <c r="AW20" s="26">
        <v>564446</v>
      </c>
      <c r="AX20" s="26">
        <v>594835</v>
      </c>
      <c r="AY20" s="26">
        <v>618015</v>
      </c>
      <c r="AZ20" s="26">
        <v>656410</v>
      </c>
      <c r="BA20" s="26">
        <v>669528</v>
      </c>
      <c r="BB20" s="26">
        <v>694435</v>
      </c>
      <c r="BC20" s="26">
        <v>716437</v>
      </c>
      <c r="BD20" s="26">
        <v>356738</v>
      </c>
      <c r="BE20" s="26">
        <v>427843</v>
      </c>
      <c r="BF20" s="26">
        <v>742388</v>
      </c>
      <c r="BG20" s="26">
        <v>721866</v>
      </c>
      <c r="BH20" s="26">
        <v>749722</v>
      </c>
    </row>
    <row r="21" spans="1:60" s="2" customFormat="1" x14ac:dyDescent="0.2">
      <c r="A21" s="9" t="s">
        <v>0</v>
      </c>
      <c r="B21" s="27">
        <f t="shared" ref="B21:AA21" si="0">SUM(B8:B20)</f>
        <v>0</v>
      </c>
      <c r="C21" s="27">
        <f t="shared" si="0"/>
        <v>0</v>
      </c>
      <c r="D21" s="27">
        <f t="shared" si="0"/>
        <v>0</v>
      </c>
      <c r="E21" s="27">
        <f t="shared" si="0"/>
        <v>0</v>
      </c>
      <c r="F21" s="27">
        <f t="shared" si="0"/>
        <v>0</v>
      </c>
      <c r="G21" s="27">
        <f t="shared" si="0"/>
        <v>0</v>
      </c>
      <c r="H21" s="27">
        <f t="shared" si="0"/>
        <v>0</v>
      </c>
      <c r="I21" s="27">
        <f t="shared" si="0"/>
        <v>0</v>
      </c>
      <c r="J21" s="27">
        <f t="shared" si="0"/>
        <v>0</v>
      </c>
      <c r="K21" s="27">
        <f t="shared" si="0"/>
        <v>0</v>
      </c>
      <c r="L21" s="27">
        <f t="shared" si="0"/>
        <v>0</v>
      </c>
      <c r="M21" s="27">
        <f t="shared" si="0"/>
        <v>0</v>
      </c>
      <c r="N21" s="27">
        <f t="shared" si="0"/>
        <v>0</v>
      </c>
      <c r="O21" s="27">
        <f t="shared" si="0"/>
        <v>0</v>
      </c>
      <c r="P21" s="27">
        <f t="shared" si="0"/>
        <v>0</v>
      </c>
      <c r="Q21" s="27">
        <f t="shared" si="0"/>
        <v>0</v>
      </c>
      <c r="R21" s="27">
        <f t="shared" si="0"/>
        <v>0</v>
      </c>
      <c r="S21" s="27">
        <f t="shared" si="0"/>
        <v>0</v>
      </c>
      <c r="T21" s="27">
        <f t="shared" si="0"/>
        <v>0</v>
      </c>
      <c r="U21" s="27">
        <f t="shared" si="0"/>
        <v>0</v>
      </c>
      <c r="V21" s="27">
        <f t="shared" si="0"/>
        <v>0</v>
      </c>
      <c r="W21" s="27">
        <f t="shared" si="0"/>
        <v>0</v>
      </c>
      <c r="X21" s="27">
        <f t="shared" si="0"/>
        <v>0</v>
      </c>
      <c r="Y21" s="27">
        <f t="shared" si="0"/>
        <v>0</v>
      </c>
      <c r="Z21" s="27">
        <f t="shared" si="0"/>
        <v>0</v>
      </c>
      <c r="AA21" s="27">
        <f t="shared" si="0"/>
        <v>0</v>
      </c>
      <c r="AB21" s="27">
        <v>3601686</v>
      </c>
      <c r="AC21" s="27">
        <v>3658784</v>
      </c>
      <c r="AD21" s="27">
        <v>3778607</v>
      </c>
      <c r="AE21" s="27">
        <v>3909469</v>
      </c>
      <c r="AF21" s="27">
        <v>4211179</v>
      </c>
      <c r="AG21" s="27">
        <v>4493422</v>
      </c>
      <c r="AH21" s="27">
        <v>4627572.8100000005</v>
      </c>
      <c r="AI21" s="27">
        <v>4998997</v>
      </c>
      <c r="AJ21" s="27">
        <v>5250168</v>
      </c>
      <c r="AK21" s="27">
        <v>5533726</v>
      </c>
      <c r="AL21" s="27">
        <v>5624239</v>
      </c>
      <c r="AM21" s="27">
        <v>5773517</v>
      </c>
      <c r="AN21" s="27">
        <v>6054415</v>
      </c>
      <c r="AO21" s="27">
        <v>6087834</v>
      </c>
      <c r="AP21" s="27">
        <v>6239684</v>
      </c>
      <c r="AQ21" s="27">
        <v>6295920</v>
      </c>
      <c r="AR21" s="27">
        <v>6581685</v>
      </c>
      <c r="AS21" s="27">
        <v>6708552</v>
      </c>
      <c r="AT21" s="27">
        <v>6844819</v>
      </c>
      <c r="AU21" s="27">
        <v>7044496</v>
      </c>
      <c r="AV21" s="27">
        <v>7151601</v>
      </c>
      <c r="AW21" s="27">
        <v>7268671</v>
      </c>
      <c r="AX21" s="27">
        <v>7581503</v>
      </c>
      <c r="AY21" s="27">
        <v>7780823</v>
      </c>
      <c r="AZ21" s="27">
        <v>8017529</v>
      </c>
      <c r="BA21" s="27">
        <v>8166449</v>
      </c>
      <c r="BB21" s="27">
        <v>8453383</v>
      </c>
      <c r="BC21" s="27">
        <v>8572481</v>
      </c>
      <c r="BD21" s="27">
        <v>4230251</v>
      </c>
      <c r="BE21" s="27">
        <v>5042169</v>
      </c>
      <c r="BF21" s="27">
        <v>8402717</v>
      </c>
      <c r="BG21" s="27">
        <v>8336114</v>
      </c>
      <c r="BH21" s="27">
        <v>8575634</v>
      </c>
    </row>
  </sheetData>
  <phoneticPr fontId="1" type="noConversion"/>
  <hyperlinks>
    <hyperlink ref="A2" location="Sommaire!A1" display="Retour au menu &quot;Exploitation des films&quot;" xr:uid="{00000000-0004-0000-0700-000000000000}"/>
  </hyperlink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BH21"/>
  <sheetViews>
    <sheetView workbookViewId="0">
      <pane xSplit="1" ySplit="7" topLeftCell="B8" activePane="bottomRight" state="frozen"/>
      <selection pane="topRight"/>
      <selection pane="bottomLeft"/>
      <selection pane="bottomRight" activeCell="B8" sqref="B8"/>
    </sheetView>
  </sheetViews>
  <sheetFormatPr baseColWidth="10" defaultColWidth="5.5703125" defaultRowHeight="12" x14ac:dyDescent="0.2"/>
  <cols>
    <col min="1" max="1" width="28.85546875" style="1" bestFit="1" customWidth="1"/>
    <col min="2" max="38" width="6.42578125" style="1" bestFit="1" customWidth="1"/>
    <col min="39" max="51" width="6.42578125" style="4" bestFit="1" customWidth="1"/>
    <col min="52" max="55" width="6.42578125" style="1" bestFit="1" customWidth="1"/>
    <col min="56" max="57" width="5.5703125" style="1"/>
    <col min="58" max="58" width="6.42578125" style="1" bestFit="1" customWidth="1"/>
    <col min="59" max="60" width="6.28515625" style="1" customWidth="1"/>
    <col min="61"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c r="BF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c r="BF2" s="39"/>
    </row>
    <row r="3" spans="1:60" s="36" customFormat="1" ht="12.75" x14ac:dyDescent="0.2">
      <c r="AM3" s="37"/>
      <c r="AN3" s="37"/>
      <c r="AO3" s="37"/>
      <c r="AP3" s="37"/>
      <c r="AQ3" s="37"/>
      <c r="AR3" s="37"/>
      <c r="AS3" s="37"/>
      <c r="AT3" s="37"/>
      <c r="AU3" s="37"/>
      <c r="AV3" s="37"/>
      <c r="AW3" s="37"/>
      <c r="AX3" s="37"/>
      <c r="AY3" s="37"/>
      <c r="AZ3" s="37"/>
      <c r="BA3" s="37"/>
      <c r="BB3" s="37"/>
      <c r="BC3" s="37"/>
      <c r="BD3" s="37"/>
      <c r="BE3" s="37"/>
      <c r="BF3" s="37"/>
    </row>
    <row r="4" spans="1:60" s="36" customFormat="1" ht="12.75" x14ac:dyDescent="0.2">
      <c r="AM4" s="37"/>
      <c r="AN4" s="37"/>
      <c r="AO4" s="37"/>
      <c r="AP4" s="37"/>
      <c r="AQ4" s="37"/>
      <c r="AR4" s="37"/>
      <c r="AS4" s="37"/>
      <c r="AT4" s="37"/>
      <c r="AU4" s="37"/>
      <c r="AV4" s="37"/>
      <c r="AW4" s="37"/>
      <c r="AX4" s="37"/>
      <c r="AY4" s="37"/>
      <c r="AZ4" s="37"/>
      <c r="BA4" s="37"/>
      <c r="BB4" s="37"/>
      <c r="BC4" s="37"/>
      <c r="BD4" s="37"/>
      <c r="BE4" s="37"/>
      <c r="BF4" s="37"/>
    </row>
    <row r="5" spans="1:60" ht="12.75" x14ac:dyDescent="0.2">
      <c r="A5" s="3" t="s">
        <v>11</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11"/>
      <c r="B7" s="12">
        <v>1966</v>
      </c>
      <c r="C7" s="12">
        <v>1967</v>
      </c>
      <c r="D7" s="12">
        <v>1968</v>
      </c>
      <c r="E7" s="12">
        <v>1969</v>
      </c>
      <c r="F7" s="12">
        <v>1970</v>
      </c>
      <c r="G7" s="12">
        <v>1971</v>
      </c>
      <c r="H7" s="12">
        <v>1972</v>
      </c>
      <c r="I7" s="12">
        <v>1973</v>
      </c>
      <c r="J7" s="12">
        <v>1974</v>
      </c>
      <c r="K7" s="12">
        <v>1975</v>
      </c>
      <c r="L7" s="12">
        <v>1976</v>
      </c>
      <c r="M7" s="12">
        <v>1977</v>
      </c>
      <c r="N7" s="12">
        <v>1978</v>
      </c>
      <c r="O7" s="12">
        <v>1979</v>
      </c>
      <c r="P7" s="12">
        <v>1980</v>
      </c>
      <c r="Q7" s="12">
        <v>1981</v>
      </c>
      <c r="R7" s="12">
        <v>1982</v>
      </c>
      <c r="S7" s="12">
        <v>1983</v>
      </c>
      <c r="T7" s="12">
        <v>1984</v>
      </c>
      <c r="U7" s="12">
        <v>1985</v>
      </c>
      <c r="V7" s="12">
        <v>1986</v>
      </c>
      <c r="W7" s="12">
        <v>1987</v>
      </c>
      <c r="X7" s="12">
        <v>1988</v>
      </c>
      <c r="Y7" s="12">
        <v>1989</v>
      </c>
      <c r="Z7" s="12">
        <v>1990</v>
      </c>
      <c r="AA7" s="12">
        <v>1991</v>
      </c>
      <c r="AB7" s="12">
        <v>1992</v>
      </c>
      <c r="AC7" s="12">
        <v>1993</v>
      </c>
      <c r="AD7" s="12">
        <v>1994</v>
      </c>
      <c r="AE7" s="12">
        <v>1995</v>
      </c>
      <c r="AF7" s="12">
        <v>1996</v>
      </c>
      <c r="AG7" s="12">
        <v>1997</v>
      </c>
      <c r="AH7" s="12">
        <v>1998</v>
      </c>
      <c r="AI7" s="12">
        <v>1999</v>
      </c>
      <c r="AJ7" s="12">
        <v>2000</v>
      </c>
      <c r="AK7" s="12">
        <v>2001</v>
      </c>
      <c r="AL7" s="12">
        <v>2002</v>
      </c>
      <c r="AM7" s="12">
        <v>2003</v>
      </c>
      <c r="AN7" s="12">
        <v>2004</v>
      </c>
      <c r="AO7" s="12">
        <v>2005</v>
      </c>
      <c r="AP7" s="12">
        <v>2006</v>
      </c>
      <c r="AQ7" s="12">
        <v>2007</v>
      </c>
      <c r="AR7" s="12">
        <v>2008</v>
      </c>
      <c r="AS7" s="12">
        <v>2009</v>
      </c>
      <c r="AT7" s="12">
        <v>2010</v>
      </c>
      <c r="AU7" s="12">
        <v>2011</v>
      </c>
      <c r="AV7" s="12">
        <v>2012</v>
      </c>
      <c r="AW7" s="12">
        <v>2013</v>
      </c>
      <c r="AX7" s="12">
        <v>2014</v>
      </c>
      <c r="AY7" s="12">
        <v>2015</v>
      </c>
      <c r="AZ7" s="12">
        <v>2016</v>
      </c>
      <c r="BA7" s="12">
        <v>2017</v>
      </c>
      <c r="BB7" s="12">
        <v>2018</v>
      </c>
      <c r="BC7" s="12">
        <v>2019</v>
      </c>
      <c r="BD7" s="12">
        <v>2020</v>
      </c>
      <c r="BE7" s="12">
        <v>2021</v>
      </c>
      <c r="BF7" s="12">
        <v>2022</v>
      </c>
      <c r="BG7" s="12">
        <v>2023</v>
      </c>
      <c r="BH7" s="12">
        <v>2024</v>
      </c>
    </row>
    <row r="8" spans="1:60" x14ac:dyDescent="0.2">
      <c r="A8" s="13" t="s">
        <v>72</v>
      </c>
      <c r="B8" s="24">
        <v>21911664</v>
      </c>
      <c r="C8" s="24">
        <v>20066356</v>
      </c>
      <c r="D8" s="24">
        <v>19271896</v>
      </c>
      <c r="E8" s="24">
        <v>17968172</v>
      </c>
      <c r="F8" s="24">
        <v>18166206</v>
      </c>
      <c r="G8" s="24">
        <v>17492467</v>
      </c>
      <c r="H8" s="24">
        <v>18196735</v>
      </c>
      <c r="I8" s="24">
        <v>17775071</v>
      </c>
      <c r="J8" s="24">
        <v>18358414</v>
      </c>
      <c r="K8" s="24">
        <v>18390913</v>
      </c>
      <c r="L8" s="24">
        <v>18350318</v>
      </c>
      <c r="M8" s="24">
        <v>17758345</v>
      </c>
      <c r="N8" s="24">
        <v>18887505</v>
      </c>
      <c r="O8" s="24">
        <v>18863358</v>
      </c>
      <c r="P8" s="24">
        <v>18331852</v>
      </c>
      <c r="Q8" s="24">
        <v>21032621</v>
      </c>
      <c r="R8" s="24">
        <v>23249386</v>
      </c>
      <c r="S8" s="24">
        <v>23369900</v>
      </c>
      <c r="T8" s="24">
        <v>22499245</v>
      </c>
      <c r="U8" s="24">
        <v>20815850</v>
      </c>
      <c r="V8" s="24">
        <v>20335022</v>
      </c>
      <c r="W8" s="24">
        <v>17023667.054198612</v>
      </c>
      <c r="X8" s="24">
        <v>15109520.424777312</v>
      </c>
      <c r="Y8" s="24">
        <v>14847195.548943788</v>
      </c>
      <c r="Z8" s="24">
        <v>14905719.079721477</v>
      </c>
      <c r="AA8" s="24">
        <v>14062985.517750414</v>
      </c>
      <c r="AB8" s="24">
        <v>13724983</v>
      </c>
      <c r="AC8" s="24">
        <v>15757406</v>
      </c>
      <c r="AD8" s="24">
        <v>14609116</v>
      </c>
      <c r="AE8" s="24">
        <v>15480249</v>
      </c>
      <c r="AF8" s="24">
        <v>16451686</v>
      </c>
      <c r="AG8" s="24">
        <v>17725886</v>
      </c>
      <c r="AH8" s="24">
        <v>20856788</v>
      </c>
      <c r="AI8" s="24">
        <v>18401197</v>
      </c>
      <c r="AJ8" s="24">
        <v>19052843</v>
      </c>
      <c r="AK8" s="24">
        <v>22871223</v>
      </c>
      <c r="AL8" s="24">
        <v>22556274</v>
      </c>
      <c r="AM8" s="24">
        <v>20639319</v>
      </c>
      <c r="AN8" s="24">
        <v>23488235</v>
      </c>
      <c r="AO8" s="24">
        <v>20774678</v>
      </c>
      <c r="AP8" s="24">
        <v>22111532</v>
      </c>
      <c r="AQ8" s="24">
        <v>20924021</v>
      </c>
      <c r="AR8" s="24">
        <v>22103315</v>
      </c>
      <c r="AS8" s="24">
        <v>23780457</v>
      </c>
      <c r="AT8" s="24">
        <v>24859981</v>
      </c>
      <c r="AU8" s="24">
        <v>25726850</v>
      </c>
      <c r="AV8" s="24">
        <v>24091568</v>
      </c>
      <c r="AW8" s="24">
        <v>23463970</v>
      </c>
      <c r="AX8" s="24">
        <v>25055757</v>
      </c>
      <c r="AY8" s="24">
        <v>24683508</v>
      </c>
      <c r="AZ8" s="24">
        <v>25690055</v>
      </c>
      <c r="BA8" s="24">
        <v>24745205</v>
      </c>
      <c r="BB8" s="24">
        <v>24302000</v>
      </c>
      <c r="BC8" s="24">
        <v>25643217</v>
      </c>
      <c r="BD8" s="24">
        <v>7778510</v>
      </c>
      <c r="BE8" s="24">
        <v>11369033</v>
      </c>
      <c r="BF8" s="24">
        <v>18192729</v>
      </c>
      <c r="BG8" s="24">
        <v>21902929</v>
      </c>
      <c r="BH8" s="24">
        <v>22355353</v>
      </c>
    </row>
    <row r="9" spans="1:60" x14ac:dyDescent="0.2">
      <c r="A9" s="13" t="s">
        <v>73</v>
      </c>
      <c r="B9" s="24">
        <v>8187668</v>
      </c>
      <c r="C9" s="24">
        <v>7533834</v>
      </c>
      <c r="D9" s="24">
        <v>7211505</v>
      </c>
      <c r="E9" s="24">
        <v>6401716</v>
      </c>
      <c r="F9" s="24">
        <v>6579236</v>
      </c>
      <c r="G9" s="24">
        <v>6240679</v>
      </c>
      <c r="H9" s="24">
        <v>6716883</v>
      </c>
      <c r="I9" s="24">
        <v>6415802</v>
      </c>
      <c r="J9" s="24">
        <v>6472175</v>
      </c>
      <c r="K9" s="24">
        <v>6461987</v>
      </c>
      <c r="L9" s="24">
        <v>6091649</v>
      </c>
      <c r="M9" s="24">
        <v>5749328</v>
      </c>
      <c r="N9" s="24">
        <v>6245681</v>
      </c>
      <c r="O9" s="24">
        <v>6258341</v>
      </c>
      <c r="P9" s="24">
        <v>5856137</v>
      </c>
      <c r="Q9" s="24">
        <v>6474970</v>
      </c>
      <c r="R9" s="24">
        <v>7525325</v>
      </c>
      <c r="S9" s="24">
        <v>7378606</v>
      </c>
      <c r="T9" s="24">
        <v>7013714</v>
      </c>
      <c r="U9" s="24">
        <v>6201572</v>
      </c>
      <c r="V9" s="24">
        <v>6064364</v>
      </c>
      <c r="W9" s="24">
        <v>4682522.9774728352</v>
      </c>
      <c r="X9" s="24">
        <v>4140233.3856346756</v>
      </c>
      <c r="Y9" s="24">
        <v>4000194.5381035348</v>
      </c>
      <c r="Z9" s="24">
        <v>3940739.8955452912</v>
      </c>
      <c r="AA9" s="24">
        <v>3799653.7278921967</v>
      </c>
      <c r="AB9" s="24">
        <v>3729608</v>
      </c>
      <c r="AC9" s="24">
        <v>4627667</v>
      </c>
      <c r="AD9" s="24">
        <v>4199413</v>
      </c>
      <c r="AE9" s="24">
        <v>4520782</v>
      </c>
      <c r="AF9" s="24">
        <v>4567110</v>
      </c>
      <c r="AG9" s="24">
        <v>4894376</v>
      </c>
      <c r="AH9" s="24">
        <v>5743218</v>
      </c>
      <c r="AI9" s="24">
        <v>4866624</v>
      </c>
      <c r="AJ9" s="24">
        <v>5250063</v>
      </c>
      <c r="AK9" s="24">
        <v>6076514</v>
      </c>
      <c r="AL9" s="24">
        <v>5774396</v>
      </c>
      <c r="AM9" s="24">
        <v>5451911</v>
      </c>
      <c r="AN9" s="24">
        <v>6373509</v>
      </c>
      <c r="AO9" s="24">
        <v>5585113</v>
      </c>
      <c r="AP9" s="24">
        <v>6361740</v>
      </c>
      <c r="AQ9" s="24">
        <v>5915479</v>
      </c>
      <c r="AR9" s="24">
        <v>6318966</v>
      </c>
      <c r="AS9" s="24">
        <v>6433510</v>
      </c>
      <c r="AT9" s="24">
        <v>6557451</v>
      </c>
      <c r="AU9" s="24">
        <v>6952917</v>
      </c>
      <c r="AV9" s="24">
        <v>6402001</v>
      </c>
      <c r="AW9" s="24">
        <v>6319861</v>
      </c>
      <c r="AX9" s="24">
        <v>7213467</v>
      </c>
      <c r="AY9" s="24">
        <v>7361679</v>
      </c>
      <c r="AZ9" s="24">
        <v>7704252</v>
      </c>
      <c r="BA9" s="24">
        <v>7504928</v>
      </c>
      <c r="BB9" s="24">
        <v>7174942</v>
      </c>
      <c r="BC9" s="24">
        <v>7654804</v>
      </c>
      <c r="BD9" s="24">
        <v>2314152</v>
      </c>
      <c r="BE9" s="24">
        <v>3338084</v>
      </c>
      <c r="BF9" s="24">
        <v>5262782</v>
      </c>
      <c r="BG9" s="24">
        <v>6203614</v>
      </c>
      <c r="BH9" s="24">
        <v>6338819</v>
      </c>
    </row>
    <row r="10" spans="1:60" x14ac:dyDescent="0.2">
      <c r="A10" s="13" t="s">
        <v>1</v>
      </c>
      <c r="B10" s="24">
        <v>7688431</v>
      </c>
      <c r="C10" s="24">
        <v>7103389</v>
      </c>
      <c r="D10" s="24">
        <v>6953046</v>
      </c>
      <c r="E10" s="24">
        <v>6302060</v>
      </c>
      <c r="F10" s="24">
        <v>6224683</v>
      </c>
      <c r="G10" s="24">
        <v>6040483</v>
      </c>
      <c r="H10" s="24">
        <v>6207522</v>
      </c>
      <c r="I10" s="24">
        <v>5862023</v>
      </c>
      <c r="J10" s="24">
        <v>5949683</v>
      </c>
      <c r="K10" s="24">
        <v>5924296</v>
      </c>
      <c r="L10" s="24">
        <v>5971736</v>
      </c>
      <c r="M10" s="24">
        <v>5559517</v>
      </c>
      <c r="N10" s="24">
        <v>6132955</v>
      </c>
      <c r="O10" s="24">
        <v>6355557</v>
      </c>
      <c r="P10" s="24">
        <v>6228628</v>
      </c>
      <c r="Q10" s="24">
        <v>6711026</v>
      </c>
      <c r="R10" s="24">
        <v>7613644</v>
      </c>
      <c r="S10" s="24">
        <v>7450945</v>
      </c>
      <c r="T10" s="24">
        <v>7257418</v>
      </c>
      <c r="U10" s="24">
        <v>6972557</v>
      </c>
      <c r="V10" s="24">
        <v>6825814</v>
      </c>
      <c r="W10" s="24">
        <v>5393440.7565003028</v>
      </c>
      <c r="X10" s="24">
        <v>4973418.4812996797</v>
      </c>
      <c r="Y10" s="24">
        <v>4778010.0861973194</v>
      </c>
      <c r="Z10" s="24">
        <v>4842249.3838793924</v>
      </c>
      <c r="AA10" s="24">
        <v>4809244.3249188876</v>
      </c>
      <c r="AB10" s="24">
        <v>4683161</v>
      </c>
      <c r="AC10" s="24">
        <v>5485204</v>
      </c>
      <c r="AD10" s="24">
        <v>5214490</v>
      </c>
      <c r="AE10" s="24">
        <v>5366579</v>
      </c>
      <c r="AF10" s="24">
        <v>5544982</v>
      </c>
      <c r="AG10" s="24">
        <v>5962157</v>
      </c>
      <c r="AH10" s="24">
        <v>6947695</v>
      </c>
      <c r="AI10" s="24">
        <v>6088406</v>
      </c>
      <c r="AJ10" s="24">
        <v>6446957</v>
      </c>
      <c r="AK10" s="24">
        <v>7190698</v>
      </c>
      <c r="AL10" s="24">
        <v>6887273</v>
      </c>
      <c r="AM10" s="24">
        <v>6620556</v>
      </c>
      <c r="AN10" s="24">
        <v>7879333</v>
      </c>
      <c r="AO10" s="24">
        <v>7046380</v>
      </c>
      <c r="AP10" s="24">
        <v>8157535</v>
      </c>
      <c r="AQ10" s="24">
        <v>7762921</v>
      </c>
      <c r="AR10" s="24">
        <v>8448940</v>
      </c>
      <c r="AS10" s="24">
        <v>9130352</v>
      </c>
      <c r="AT10" s="24">
        <v>9297689</v>
      </c>
      <c r="AU10" s="24">
        <v>9989216</v>
      </c>
      <c r="AV10" s="24">
        <v>9467327</v>
      </c>
      <c r="AW10" s="24">
        <v>8741513</v>
      </c>
      <c r="AX10" s="24">
        <v>9616712</v>
      </c>
      <c r="AY10" s="24">
        <v>9728720</v>
      </c>
      <c r="AZ10" s="24">
        <v>10118782</v>
      </c>
      <c r="BA10" s="24">
        <v>10095775</v>
      </c>
      <c r="BB10" s="24">
        <v>9520072</v>
      </c>
      <c r="BC10" s="24">
        <v>10293340</v>
      </c>
      <c r="BD10" s="24">
        <v>3272412</v>
      </c>
      <c r="BE10" s="24">
        <v>4933665</v>
      </c>
      <c r="BF10" s="24">
        <v>7721331</v>
      </c>
      <c r="BG10" s="24">
        <v>9631184</v>
      </c>
      <c r="BH10" s="24">
        <v>9835002</v>
      </c>
    </row>
    <row r="11" spans="1:60" x14ac:dyDescent="0.2">
      <c r="A11" s="13" t="s">
        <v>74</v>
      </c>
      <c r="B11" s="24">
        <v>6087855</v>
      </c>
      <c r="C11" s="24">
        <v>5808322</v>
      </c>
      <c r="D11" s="24">
        <v>5458678</v>
      </c>
      <c r="E11" s="24">
        <v>4974797</v>
      </c>
      <c r="F11" s="24">
        <v>5012712</v>
      </c>
      <c r="G11" s="24">
        <v>4764999</v>
      </c>
      <c r="H11" s="24">
        <v>4777991</v>
      </c>
      <c r="I11" s="24">
        <v>4582549</v>
      </c>
      <c r="J11" s="24">
        <v>4630132</v>
      </c>
      <c r="K11" s="24">
        <v>4662413</v>
      </c>
      <c r="L11" s="24">
        <v>4493214</v>
      </c>
      <c r="M11" s="24">
        <v>4455102</v>
      </c>
      <c r="N11" s="24">
        <v>5086111</v>
      </c>
      <c r="O11" s="24">
        <v>5068946</v>
      </c>
      <c r="P11" s="24">
        <v>4722694</v>
      </c>
      <c r="Q11" s="24">
        <v>5510576</v>
      </c>
      <c r="R11" s="24">
        <v>5937640</v>
      </c>
      <c r="S11" s="24">
        <v>6349539</v>
      </c>
      <c r="T11" s="24">
        <v>6133525</v>
      </c>
      <c r="U11" s="24">
        <v>5438720</v>
      </c>
      <c r="V11" s="24">
        <v>5305494</v>
      </c>
      <c r="W11" s="24">
        <v>3975683.0871048034</v>
      </c>
      <c r="X11" s="24">
        <v>3713767.8894346766</v>
      </c>
      <c r="Y11" s="24">
        <v>3500567.3682141528</v>
      </c>
      <c r="Z11" s="24">
        <v>3568872.2389489054</v>
      </c>
      <c r="AA11" s="24">
        <v>3328929.0872842283</v>
      </c>
      <c r="AB11" s="24">
        <v>3178594</v>
      </c>
      <c r="AC11" s="24">
        <v>3656405</v>
      </c>
      <c r="AD11" s="24">
        <v>3575174</v>
      </c>
      <c r="AE11" s="24">
        <v>3877427</v>
      </c>
      <c r="AF11" s="24">
        <v>4201481</v>
      </c>
      <c r="AG11" s="24">
        <v>4494863</v>
      </c>
      <c r="AH11" s="24">
        <v>5179197</v>
      </c>
      <c r="AI11" s="24">
        <v>4465445</v>
      </c>
      <c r="AJ11" s="24">
        <v>4728823</v>
      </c>
      <c r="AK11" s="24">
        <v>5608053</v>
      </c>
      <c r="AL11" s="24">
        <v>5329330</v>
      </c>
      <c r="AM11" s="24">
        <v>4949898</v>
      </c>
      <c r="AN11" s="24">
        <v>5497078</v>
      </c>
      <c r="AO11" s="24">
        <v>4757148</v>
      </c>
      <c r="AP11" s="24">
        <v>5353680</v>
      </c>
      <c r="AQ11" s="24">
        <v>5075902</v>
      </c>
      <c r="AR11" s="24">
        <v>5749058</v>
      </c>
      <c r="AS11" s="24">
        <v>6321390</v>
      </c>
      <c r="AT11" s="24">
        <v>6439092</v>
      </c>
      <c r="AU11" s="24">
        <v>6883603</v>
      </c>
      <c r="AV11" s="24">
        <v>6440367</v>
      </c>
      <c r="AW11" s="24">
        <v>6020532</v>
      </c>
      <c r="AX11" s="24">
        <v>6658664</v>
      </c>
      <c r="AY11" s="24">
        <v>6537850</v>
      </c>
      <c r="AZ11" s="24">
        <v>6797805</v>
      </c>
      <c r="BA11" s="24">
        <v>6743842</v>
      </c>
      <c r="BB11" s="24">
        <v>6445817</v>
      </c>
      <c r="BC11" s="24">
        <v>7005746</v>
      </c>
      <c r="BD11" s="24">
        <v>2132381</v>
      </c>
      <c r="BE11" s="24">
        <v>3086892</v>
      </c>
      <c r="BF11" s="24">
        <v>4918831</v>
      </c>
      <c r="BG11" s="24">
        <v>5831646</v>
      </c>
      <c r="BH11" s="24">
        <v>5958593</v>
      </c>
    </row>
    <row r="12" spans="1:60" x14ac:dyDescent="0.2">
      <c r="A12" s="13" t="s">
        <v>5</v>
      </c>
      <c r="B12" s="24">
        <v>802471</v>
      </c>
      <c r="C12" s="24">
        <v>684054</v>
      </c>
      <c r="D12" s="24">
        <v>650966</v>
      </c>
      <c r="E12" s="24">
        <v>610972</v>
      </c>
      <c r="F12" s="24">
        <v>577409</v>
      </c>
      <c r="G12" s="24">
        <v>537255</v>
      </c>
      <c r="H12" s="24">
        <v>551114</v>
      </c>
      <c r="I12" s="24">
        <v>546624</v>
      </c>
      <c r="J12" s="24">
        <v>561467</v>
      </c>
      <c r="K12" s="24">
        <v>573976</v>
      </c>
      <c r="L12" s="24">
        <v>604610</v>
      </c>
      <c r="M12" s="24">
        <v>594097</v>
      </c>
      <c r="N12" s="24">
        <v>591510</v>
      </c>
      <c r="O12" s="24">
        <v>584795</v>
      </c>
      <c r="P12" s="24">
        <v>2762150</v>
      </c>
      <c r="Q12" s="24">
        <v>606797</v>
      </c>
      <c r="R12" s="24">
        <v>685472</v>
      </c>
      <c r="S12" s="24">
        <v>643000</v>
      </c>
      <c r="T12" s="24">
        <v>529778</v>
      </c>
      <c r="U12" s="24">
        <v>434489</v>
      </c>
      <c r="V12" s="24">
        <v>433264</v>
      </c>
      <c r="W12" s="24">
        <v>358915</v>
      </c>
      <c r="X12" s="24">
        <v>296375</v>
      </c>
      <c r="Y12" s="24">
        <v>298913</v>
      </c>
      <c r="Z12" s="24">
        <v>277999.93731001421</v>
      </c>
      <c r="AA12" s="24">
        <v>268599.02365496295</v>
      </c>
      <c r="AB12" s="24">
        <v>275219</v>
      </c>
      <c r="AC12" s="24">
        <v>330431</v>
      </c>
      <c r="AD12" s="24">
        <v>278164</v>
      </c>
      <c r="AE12" s="24">
        <v>303490</v>
      </c>
      <c r="AF12" s="24">
        <v>302566</v>
      </c>
      <c r="AG12" s="24">
        <v>317708</v>
      </c>
      <c r="AH12" s="24">
        <v>389204</v>
      </c>
      <c r="AI12" s="24">
        <v>322306</v>
      </c>
      <c r="AJ12" s="24">
        <v>323897</v>
      </c>
      <c r="AK12" s="24">
        <v>360441</v>
      </c>
      <c r="AL12" s="24">
        <v>353588</v>
      </c>
      <c r="AM12" s="24">
        <v>326957</v>
      </c>
      <c r="AN12" s="24">
        <v>430824</v>
      </c>
      <c r="AO12" s="24">
        <v>291318</v>
      </c>
      <c r="AP12" s="24">
        <v>298696</v>
      </c>
      <c r="AQ12" s="24">
        <v>300667</v>
      </c>
      <c r="AR12" s="24">
        <v>303924</v>
      </c>
      <c r="AS12" s="24">
        <v>366512</v>
      </c>
      <c r="AT12" s="24">
        <v>392576</v>
      </c>
      <c r="AU12" s="24">
        <v>399455</v>
      </c>
      <c r="AV12" s="24">
        <v>351580</v>
      </c>
      <c r="AW12" s="24">
        <v>335358</v>
      </c>
      <c r="AX12" s="24">
        <v>390089</v>
      </c>
      <c r="AY12" s="24">
        <v>612350</v>
      </c>
      <c r="AZ12" s="24">
        <v>692385</v>
      </c>
      <c r="BA12" s="24">
        <v>691537</v>
      </c>
      <c r="BB12" s="24">
        <v>644614</v>
      </c>
      <c r="BC12" s="24">
        <v>728259</v>
      </c>
      <c r="BD12" s="24">
        <v>203701</v>
      </c>
      <c r="BE12" s="24">
        <v>328659</v>
      </c>
      <c r="BF12" s="24">
        <v>583080</v>
      </c>
      <c r="BG12" s="24">
        <v>751776</v>
      </c>
      <c r="BH12" s="24">
        <v>716201</v>
      </c>
    </row>
    <row r="13" spans="1:60" x14ac:dyDescent="0.2">
      <c r="A13" s="13" t="s">
        <v>77</v>
      </c>
      <c r="B13" s="24">
        <v>25242422</v>
      </c>
      <c r="C13" s="24">
        <v>22102012</v>
      </c>
      <c r="D13" s="24">
        <v>20893987</v>
      </c>
      <c r="E13" s="24">
        <v>17815181</v>
      </c>
      <c r="F13" s="24">
        <v>17526069</v>
      </c>
      <c r="G13" s="24">
        <v>16380597</v>
      </c>
      <c r="H13" s="24">
        <v>15922919</v>
      </c>
      <c r="I13" s="24">
        <v>14234869</v>
      </c>
      <c r="J13" s="24">
        <v>14767279</v>
      </c>
      <c r="K13" s="24">
        <v>14670258</v>
      </c>
      <c r="L13" s="24">
        <v>13677260</v>
      </c>
      <c r="M13" s="24">
        <v>12930280</v>
      </c>
      <c r="N13" s="24">
        <v>13614031</v>
      </c>
      <c r="O13" s="24">
        <v>13416440</v>
      </c>
      <c r="P13" s="24">
        <v>12700332</v>
      </c>
      <c r="Q13" s="24">
        <v>13627545</v>
      </c>
      <c r="R13" s="24">
        <v>14666824</v>
      </c>
      <c r="S13" s="24">
        <v>14017302</v>
      </c>
      <c r="T13" s="24">
        <v>13289378</v>
      </c>
      <c r="U13" s="24">
        <v>12235397</v>
      </c>
      <c r="V13" s="24">
        <v>12143393</v>
      </c>
      <c r="W13" s="24">
        <v>9694809.2888150699</v>
      </c>
      <c r="X13" s="24">
        <v>8532445.617255358</v>
      </c>
      <c r="Y13" s="24">
        <v>8324213.0205166759</v>
      </c>
      <c r="Z13" s="24">
        <v>8634395.9115108643</v>
      </c>
      <c r="AA13" s="24">
        <v>8186115.5447830893</v>
      </c>
      <c r="AB13" s="24">
        <v>7789970</v>
      </c>
      <c r="AC13" s="24">
        <v>9209712</v>
      </c>
      <c r="AD13" s="24">
        <v>8584116</v>
      </c>
      <c r="AE13" s="24">
        <v>9515808</v>
      </c>
      <c r="AF13" s="24">
        <v>9867986</v>
      </c>
      <c r="AG13" s="24">
        <v>10924805</v>
      </c>
      <c r="AH13" s="24">
        <v>12485289</v>
      </c>
      <c r="AI13" s="24">
        <v>11130650</v>
      </c>
      <c r="AJ13" s="24">
        <v>12380434</v>
      </c>
      <c r="AK13" s="24">
        <v>14568630</v>
      </c>
      <c r="AL13" s="24">
        <v>14110544</v>
      </c>
      <c r="AM13" s="24">
        <v>13125353</v>
      </c>
      <c r="AN13" s="24">
        <v>15028244</v>
      </c>
      <c r="AO13" s="24">
        <v>13360483</v>
      </c>
      <c r="AP13" s="24">
        <v>14534792</v>
      </c>
      <c r="AQ13" s="24">
        <v>13989812</v>
      </c>
      <c r="AR13" s="24">
        <v>14931625</v>
      </c>
      <c r="AS13" s="24">
        <v>15590630</v>
      </c>
      <c r="AT13" s="24">
        <v>15436418</v>
      </c>
      <c r="AU13" s="24">
        <v>16485943</v>
      </c>
      <c r="AV13" s="24">
        <v>15461830</v>
      </c>
      <c r="AW13" s="24">
        <v>14593857</v>
      </c>
      <c r="AX13" s="24">
        <v>15894970</v>
      </c>
      <c r="AY13" s="24">
        <v>15748121</v>
      </c>
      <c r="AZ13" s="24">
        <v>16144230</v>
      </c>
      <c r="BA13" s="24">
        <v>15680982</v>
      </c>
      <c r="BB13" s="24">
        <v>14467115</v>
      </c>
      <c r="BC13" s="24">
        <v>15284597</v>
      </c>
      <c r="BD13" s="24">
        <v>4578597</v>
      </c>
      <c r="BE13" s="24">
        <v>6715865</v>
      </c>
      <c r="BF13" s="24">
        <v>10525068</v>
      </c>
      <c r="BG13" s="24">
        <v>12774799</v>
      </c>
      <c r="BH13" s="24">
        <v>12393974</v>
      </c>
    </row>
    <row r="14" spans="1:60" x14ac:dyDescent="0.2">
      <c r="A14" s="13" t="s">
        <v>78</v>
      </c>
      <c r="B14" s="24">
        <v>20620152</v>
      </c>
      <c r="C14" s="24">
        <v>18222671</v>
      </c>
      <c r="D14" s="24">
        <v>16518958</v>
      </c>
      <c r="E14" s="24">
        <v>14348075</v>
      </c>
      <c r="F14" s="24">
        <v>14459627</v>
      </c>
      <c r="G14" s="24">
        <v>13968073</v>
      </c>
      <c r="H14" s="24">
        <v>14602693</v>
      </c>
      <c r="I14" s="24">
        <v>13096794</v>
      </c>
      <c r="J14" s="24">
        <v>13203704</v>
      </c>
      <c r="K14" s="24">
        <v>13139027</v>
      </c>
      <c r="L14" s="24">
        <v>11874382</v>
      </c>
      <c r="M14" s="24">
        <v>11064040</v>
      </c>
      <c r="N14" s="24">
        <v>11706468</v>
      </c>
      <c r="O14" s="24">
        <v>11123503</v>
      </c>
      <c r="P14" s="24">
        <v>10646033</v>
      </c>
      <c r="Q14" s="24">
        <v>12089040</v>
      </c>
      <c r="R14" s="24">
        <v>12952923</v>
      </c>
      <c r="S14" s="24">
        <v>12679531</v>
      </c>
      <c r="T14" s="24">
        <v>11705012</v>
      </c>
      <c r="U14" s="24">
        <v>10540667</v>
      </c>
      <c r="V14" s="24">
        <v>10113457</v>
      </c>
      <c r="W14" s="24">
        <v>7852938.7977576777</v>
      </c>
      <c r="X14" s="24">
        <v>6932720.1210697405</v>
      </c>
      <c r="Y14" s="24">
        <v>6713940.9588423958</v>
      </c>
      <c r="Z14" s="24">
        <v>7107396.9231075887</v>
      </c>
      <c r="AA14" s="24">
        <v>6710050.6054241816</v>
      </c>
      <c r="AB14" s="24">
        <v>6747403</v>
      </c>
      <c r="AC14" s="24">
        <v>8601436</v>
      </c>
      <c r="AD14" s="24">
        <v>7463932</v>
      </c>
      <c r="AE14" s="24">
        <v>8071744</v>
      </c>
      <c r="AF14" s="24">
        <v>9105698</v>
      </c>
      <c r="AG14" s="24">
        <v>10884965</v>
      </c>
      <c r="AH14" s="24">
        <v>12739007</v>
      </c>
      <c r="AI14" s="24">
        <v>11291999</v>
      </c>
      <c r="AJ14" s="24">
        <v>12306331</v>
      </c>
      <c r="AK14" s="24">
        <v>13472771</v>
      </c>
      <c r="AL14" s="24">
        <v>13004616</v>
      </c>
      <c r="AM14" s="24">
        <v>12023354</v>
      </c>
      <c r="AN14" s="24">
        <v>13671484</v>
      </c>
      <c r="AO14" s="24">
        <v>12352292</v>
      </c>
      <c r="AP14" s="24">
        <v>13543247</v>
      </c>
      <c r="AQ14" s="24">
        <v>12934255</v>
      </c>
      <c r="AR14" s="24">
        <v>14465630</v>
      </c>
      <c r="AS14" s="24">
        <v>14318224</v>
      </c>
      <c r="AT14" s="24">
        <v>14877792</v>
      </c>
      <c r="AU14" s="24">
        <v>16397133</v>
      </c>
      <c r="AV14" s="24">
        <v>15106957</v>
      </c>
      <c r="AW14" s="24">
        <v>13829289</v>
      </c>
      <c r="AX14" s="24">
        <v>15719872</v>
      </c>
      <c r="AY14" s="24">
        <v>15858259</v>
      </c>
      <c r="AZ14" s="24">
        <v>16535184</v>
      </c>
      <c r="BA14" s="24">
        <v>16261531</v>
      </c>
      <c r="BB14" s="24">
        <v>16016380</v>
      </c>
      <c r="BC14" s="24">
        <v>16282233</v>
      </c>
      <c r="BD14" s="24">
        <v>4892201</v>
      </c>
      <c r="BE14" s="24">
        <v>7291565</v>
      </c>
      <c r="BF14" s="24">
        <v>11282881</v>
      </c>
      <c r="BG14" s="24">
        <v>13785520</v>
      </c>
      <c r="BH14" s="24">
        <v>13611157</v>
      </c>
    </row>
    <row r="15" spans="1:60" x14ac:dyDescent="0.2">
      <c r="A15" s="13" t="s">
        <v>2</v>
      </c>
      <c r="B15" s="24">
        <v>67783512</v>
      </c>
      <c r="C15" s="24">
        <v>62436186</v>
      </c>
      <c r="D15" s="24">
        <v>60571494</v>
      </c>
      <c r="E15" s="24">
        <v>56374416</v>
      </c>
      <c r="F15" s="24">
        <v>57441769</v>
      </c>
      <c r="G15" s="24">
        <v>55909728</v>
      </c>
      <c r="H15" s="24">
        <v>59070947</v>
      </c>
      <c r="I15" s="24">
        <v>57887259</v>
      </c>
      <c r="J15" s="24">
        <v>59317099</v>
      </c>
      <c r="K15" s="24">
        <v>60591338</v>
      </c>
      <c r="L15" s="24">
        <v>60440193</v>
      </c>
      <c r="M15" s="24">
        <v>59214736</v>
      </c>
      <c r="N15" s="24">
        <v>60026987</v>
      </c>
      <c r="O15" s="24">
        <v>60129447</v>
      </c>
      <c r="P15" s="24">
        <v>59685829</v>
      </c>
      <c r="Q15" s="24">
        <v>63347562</v>
      </c>
      <c r="R15" s="24">
        <v>64635663</v>
      </c>
      <c r="S15" s="24">
        <v>63193720</v>
      </c>
      <c r="T15" s="24">
        <v>61634931</v>
      </c>
      <c r="U15" s="24">
        <v>56660402</v>
      </c>
      <c r="V15" s="24">
        <v>52386801</v>
      </c>
      <c r="W15" s="24">
        <v>45166486.040388308</v>
      </c>
      <c r="X15" s="24">
        <v>42928816.041509524</v>
      </c>
      <c r="Y15" s="24">
        <v>41775468.674168997</v>
      </c>
      <c r="Z15" s="24">
        <v>41043132.888003618</v>
      </c>
      <c r="AA15" s="24">
        <v>40548143.264552929</v>
      </c>
      <c r="AB15" s="24">
        <v>40879554</v>
      </c>
      <c r="AC15" s="24">
        <v>44187439</v>
      </c>
      <c r="AD15" s="24">
        <v>42079479</v>
      </c>
      <c r="AE15" s="24">
        <v>41285740</v>
      </c>
      <c r="AF15" s="24">
        <v>43154986</v>
      </c>
      <c r="AG15" s="24">
        <v>45596894</v>
      </c>
      <c r="AH15" s="24">
        <v>48458214.07</v>
      </c>
      <c r="AI15" s="24">
        <v>45425149</v>
      </c>
      <c r="AJ15" s="24">
        <v>50318641</v>
      </c>
      <c r="AK15" s="24">
        <v>55465651</v>
      </c>
      <c r="AL15" s="24">
        <v>55048574</v>
      </c>
      <c r="AM15" s="24">
        <v>53496578.010000005</v>
      </c>
      <c r="AN15" s="24">
        <v>58273942</v>
      </c>
      <c r="AO15" s="24">
        <v>53861974</v>
      </c>
      <c r="AP15" s="24">
        <v>55956323</v>
      </c>
      <c r="AQ15" s="24">
        <v>52145426</v>
      </c>
      <c r="AR15" s="24">
        <v>54921430</v>
      </c>
      <c r="AS15" s="24">
        <v>58311972</v>
      </c>
      <c r="AT15" s="24">
        <v>58373012</v>
      </c>
      <c r="AU15" s="24">
        <v>60294691</v>
      </c>
      <c r="AV15" s="24">
        <v>57603310</v>
      </c>
      <c r="AW15" s="24">
        <v>55518326</v>
      </c>
      <c r="AX15" s="24">
        <v>57269725</v>
      </c>
      <c r="AY15" s="24">
        <v>53867157</v>
      </c>
      <c r="AZ15" s="24">
        <v>55225673</v>
      </c>
      <c r="BA15" s="24">
        <v>54494981</v>
      </c>
      <c r="BB15" s="24">
        <v>51242865</v>
      </c>
      <c r="BC15" s="24">
        <v>54843000</v>
      </c>
      <c r="BD15" s="24">
        <v>17393341</v>
      </c>
      <c r="BE15" s="24">
        <v>24407970</v>
      </c>
      <c r="BF15" s="24">
        <v>38184424</v>
      </c>
      <c r="BG15" s="24">
        <v>43564685</v>
      </c>
      <c r="BH15" s="24">
        <v>42701105</v>
      </c>
    </row>
    <row r="16" spans="1:60" x14ac:dyDescent="0.2">
      <c r="A16" s="13" t="s">
        <v>75</v>
      </c>
      <c r="B16" s="24">
        <v>10197892</v>
      </c>
      <c r="C16" s="24">
        <v>9557141</v>
      </c>
      <c r="D16" s="24">
        <v>9201274</v>
      </c>
      <c r="E16" s="24">
        <v>8145106</v>
      </c>
      <c r="F16" s="24">
        <v>8271057</v>
      </c>
      <c r="G16" s="24">
        <v>7994912</v>
      </c>
      <c r="H16" s="24">
        <v>8241254</v>
      </c>
      <c r="I16" s="24">
        <v>7829294</v>
      </c>
      <c r="J16" s="24">
        <v>7888060</v>
      </c>
      <c r="K16" s="24">
        <v>7735257</v>
      </c>
      <c r="L16" s="24">
        <v>7435380</v>
      </c>
      <c r="M16" s="24">
        <v>6896848</v>
      </c>
      <c r="N16" s="24">
        <v>7391320</v>
      </c>
      <c r="O16" s="24">
        <v>7149345</v>
      </c>
      <c r="P16" s="24">
        <v>7039603</v>
      </c>
      <c r="Q16" s="24">
        <v>7874266</v>
      </c>
      <c r="R16" s="24">
        <v>8226165</v>
      </c>
      <c r="S16" s="24">
        <v>8283684</v>
      </c>
      <c r="T16" s="24">
        <v>7830904</v>
      </c>
      <c r="U16" s="24">
        <v>7335806</v>
      </c>
      <c r="V16" s="24">
        <v>7040412</v>
      </c>
      <c r="W16" s="24">
        <v>5458512.3264999725</v>
      </c>
      <c r="X16" s="24">
        <v>4949650.0079763401</v>
      </c>
      <c r="Y16" s="24">
        <v>4719448.0218500653</v>
      </c>
      <c r="Z16" s="24">
        <v>4855842.783004541</v>
      </c>
      <c r="AA16" s="24">
        <v>4713668.0523876194</v>
      </c>
      <c r="AB16" s="24">
        <v>4529460</v>
      </c>
      <c r="AC16" s="24">
        <v>5522136</v>
      </c>
      <c r="AD16" s="24">
        <v>5021586</v>
      </c>
      <c r="AE16" s="24">
        <v>5336803</v>
      </c>
      <c r="AF16" s="24">
        <v>5685662</v>
      </c>
      <c r="AG16" s="24">
        <v>6124159</v>
      </c>
      <c r="AH16" s="24">
        <v>7456086</v>
      </c>
      <c r="AI16" s="24">
        <v>6682608</v>
      </c>
      <c r="AJ16" s="24">
        <v>7272754</v>
      </c>
      <c r="AK16" s="24">
        <v>8041069</v>
      </c>
      <c r="AL16" s="24">
        <v>7859993</v>
      </c>
      <c r="AM16" s="24">
        <v>7117284</v>
      </c>
      <c r="AN16" s="24">
        <v>8582168</v>
      </c>
      <c r="AO16" s="24">
        <v>7462206</v>
      </c>
      <c r="AP16" s="24">
        <v>8559261</v>
      </c>
      <c r="AQ16" s="24">
        <v>7808913</v>
      </c>
      <c r="AR16" s="24">
        <v>8474687</v>
      </c>
      <c r="AS16" s="24">
        <v>8749527</v>
      </c>
      <c r="AT16" s="24">
        <v>9072648</v>
      </c>
      <c r="AU16" s="24">
        <v>9847059</v>
      </c>
      <c r="AV16" s="24">
        <v>8978594</v>
      </c>
      <c r="AW16" s="24">
        <v>8189737</v>
      </c>
      <c r="AX16" s="24">
        <v>9165823</v>
      </c>
      <c r="AY16" s="24">
        <v>9104853</v>
      </c>
      <c r="AZ16" s="24">
        <v>9164304</v>
      </c>
      <c r="BA16" s="24">
        <v>9070858</v>
      </c>
      <c r="BB16" s="24">
        <v>8784661</v>
      </c>
      <c r="BC16" s="24">
        <v>9262734</v>
      </c>
      <c r="BD16" s="24">
        <v>2887461</v>
      </c>
      <c r="BE16" s="24">
        <v>4342013</v>
      </c>
      <c r="BF16" s="24">
        <v>6546179</v>
      </c>
      <c r="BG16" s="24">
        <v>8117853</v>
      </c>
      <c r="BH16" s="24">
        <v>8211781</v>
      </c>
    </row>
    <row r="17" spans="1:60" x14ac:dyDescent="0.2">
      <c r="A17" s="13" t="s">
        <v>79</v>
      </c>
      <c r="B17" s="24">
        <v>15658134</v>
      </c>
      <c r="C17" s="24">
        <v>13981326</v>
      </c>
      <c r="D17" s="24">
        <v>13501181</v>
      </c>
      <c r="E17" s="24">
        <v>12134273</v>
      </c>
      <c r="F17" s="24">
        <v>12136962</v>
      </c>
      <c r="G17" s="24">
        <v>11540788</v>
      </c>
      <c r="H17" s="24">
        <v>12011803</v>
      </c>
      <c r="I17" s="24">
        <v>11663743</v>
      </c>
      <c r="J17" s="24">
        <v>11979415</v>
      </c>
      <c r="K17" s="24">
        <v>12030846</v>
      </c>
      <c r="L17" s="24">
        <v>11819870</v>
      </c>
      <c r="M17" s="24">
        <v>11260362</v>
      </c>
      <c r="N17" s="24">
        <v>12066092</v>
      </c>
      <c r="O17" s="24">
        <v>12366132</v>
      </c>
      <c r="P17" s="24">
        <v>11793396</v>
      </c>
      <c r="Q17" s="24">
        <v>13111949</v>
      </c>
      <c r="R17" s="24">
        <v>14319895</v>
      </c>
      <c r="S17" s="24">
        <v>14631094</v>
      </c>
      <c r="T17" s="24">
        <v>14035150</v>
      </c>
      <c r="U17" s="24">
        <v>12909562</v>
      </c>
      <c r="V17" s="24">
        <v>12757174</v>
      </c>
      <c r="W17" s="24">
        <v>9700599.5600159876</v>
      </c>
      <c r="X17" s="24">
        <v>8584375.1849155147</v>
      </c>
      <c r="Y17" s="24">
        <v>8129358.9330969378</v>
      </c>
      <c r="Z17" s="24">
        <v>8352903.6143965032</v>
      </c>
      <c r="AA17" s="24">
        <v>7984261.2825160958</v>
      </c>
      <c r="AB17" s="24">
        <v>7938122</v>
      </c>
      <c r="AC17" s="24">
        <v>9240962</v>
      </c>
      <c r="AD17" s="24">
        <v>8694022</v>
      </c>
      <c r="AE17" s="24">
        <v>9467895</v>
      </c>
      <c r="AF17" s="24">
        <v>9955457</v>
      </c>
      <c r="AG17" s="24">
        <v>10930364</v>
      </c>
      <c r="AH17" s="24">
        <v>13195496</v>
      </c>
      <c r="AI17" s="24">
        <v>11877843</v>
      </c>
      <c r="AJ17" s="24">
        <v>12914567</v>
      </c>
      <c r="AK17" s="24">
        <v>14526908</v>
      </c>
      <c r="AL17" s="24">
        <v>14477454</v>
      </c>
      <c r="AM17" s="24">
        <v>13301210</v>
      </c>
      <c r="AN17" s="24">
        <v>15371759</v>
      </c>
      <c r="AO17" s="24">
        <v>13436276</v>
      </c>
      <c r="AP17" s="24">
        <v>14847542</v>
      </c>
      <c r="AQ17" s="24">
        <v>14110775</v>
      </c>
      <c r="AR17" s="24">
        <v>14743927</v>
      </c>
      <c r="AS17" s="24">
        <v>15755678</v>
      </c>
      <c r="AT17" s="24">
        <v>16445462</v>
      </c>
      <c r="AU17" s="24">
        <v>17197477</v>
      </c>
      <c r="AV17" s="24">
        <v>15963874</v>
      </c>
      <c r="AW17" s="24">
        <v>15180862</v>
      </c>
      <c r="AX17" s="24">
        <v>16620520</v>
      </c>
      <c r="AY17" s="24">
        <v>16773055</v>
      </c>
      <c r="AZ17" s="24">
        <v>17786464</v>
      </c>
      <c r="BA17" s="24">
        <v>17764063</v>
      </c>
      <c r="BB17" s="24">
        <v>17224414</v>
      </c>
      <c r="BC17" s="24">
        <v>18333736</v>
      </c>
      <c r="BD17" s="24">
        <v>5558026</v>
      </c>
      <c r="BE17" s="24">
        <v>8535680</v>
      </c>
      <c r="BF17" s="24">
        <v>13586073</v>
      </c>
      <c r="BG17" s="24">
        <v>16114836</v>
      </c>
      <c r="BH17" s="24">
        <v>16534604</v>
      </c>
    </row>
    <row r="18" spans="1:60" x14ac:dyDescent="0.2">
      <c r="A18" s="13" t="s">
        <v>80</v>
      </c>
      <c r="B18" s="24">
        <v>16554489</v>
      </c>
      <c r="C18" s="24">
        <v>14552618</v>
      </c>
      <c r="D18" s="24">
        <v>14309669</v>
      </c>
      <c r="E18" s="24">
        <v>12781122</v>
      </c>
      <c r="F18" s="24">
        <v>12535359</v>
      </c>
      <c r="G18" s="24">
        <v>11921677</v>
      </c>
      <c r="H18" s="24">
        <v>12666880</v>
      </c>
      <c r="I18" s="24">
        <v>12261396</v>
      </c>
      <c r="J18" s="24">
        <v>12360568</v>
      </c>
      <c r="K18" s="24">
        <v>12969742</v>
      </c>
      <c r="L18" s="24">
        <v>12553988</v>
      </c>
      <c r="M18" s="24">
        <v>12260313</v>
      </c>
      <c r="N18" s="24">
        <v>12873781</v>
      </c>
      <c r="O18" s="24">
        <v>12834767</v>
      </c>
      <c r="P18" s="24">
        <v>12238597</v>
      </c>
      <c r="Q18" s="24">
        <v>13603136</v>
      </c>
      <c r="R18" s="24">
        <v>15010300</v>
      </c>
      <c r="S18" s="24">
        <v>14765400</v>
      </c>
      <c r="T18" s="24">
        <v>14217416</v>
      </c>
      <c r="U18" s="24">
        <v>12890007</v>
      </c>
      <c r="V18" s="24">
        <v>12469074</v>
      </c>
      <c r="W18" s="24">
        <v>9702705.6768654361</v>
      </c>
      <c r="X18" s="24">
        <v>8605398.3975311965</v>
      </c>
      <c r="Y18" s="24">
        <v>8337020.4508722266</v>
      </c>
      <c r="Z18" s="24">
        <v>8581100.4262775257</v>
      </c>
      <c r="AA18" s="24">
        <v>8201309.8477978567</v>
      </c>
      <c r="AB18" s="24">
        <v>7987061</v>
      </c>
      <c r="AC18" s="24">
        <v>9393135</v>
      </c>
      <c r="AD18" s="24">
        <v>8851653</v>
      </c>
      <c r="AE18" s="24">
        <v>9506529</v>
      </c>
      <c r="AF18" s="24">
        <v>9806143</v>
      </c>
      <c r="AG18" s="24">
        <v>10891682</v>
      </c>
      <c r="AH18" s="24">
        <v>13106772</v>
      </c>
      <c r="AI18" s="24">
        <v>11977128</v>
      </c>
      <c r="AJ18" s="24">
        <v>12594620</v>
      </c>
      <c r="AK18" s="24">
        <v>14294267</v>
      </c>
      <c r="AL18" s="24">
        <v>14562970</v>
      </c>
      <c r="AM18" s="24">
        <v>13395420</v>
      </c>
      <c r="AN18" s="24">
        <v>15402957</v>
      </c>
      <c r="AO18" s="24">
        <v>13853151</v>
      </c>
      <c r="AP18" s="24">
        <v>14572927</v>
      </c>
      <c r="AQ18" s="24">
        <v>14182116</v>
      </c>
      <c r="AR18" s="24">
        <v>15045279</v>
      </c>
      <c r="AS18" s="24">
        <v>16374797</v>
      </c>
      <c r="AT18" s="24">
        <v>17062300</v>
      </c>
      <c r="AU18" s="24">
        <v>17762011</v>
      </c>
      <c r="AV18" s="24">
        <v>16405884</v>
      </c>
      <c r="AW18" s="24">
        <v>15751870</v>
      </c>
      <c r="AX18" s="24">
        <v>17146185</v>
      </c>
      <c r="AY18" s="24">
        <v>16952557</v>
      </c>
      <c r="AZ18" s="24">
        <v>17678236</v>
      </c>
      <c r="BA18" s="24">
        <v>17230418</v>
      </c>
      <c r="BB18" s="24">
        <v>16857290</v>
      </c>
      <c r="BC18" s="24">
        <v>17639371</v>
      </c>
      <c r="BD18" s="24">
        <v>5271806</v>
      </c>
      <c r="BE18" s="24">
        <v>7808719</v>
      </c>
      <c r="BF18" s="24">
        <v>13066331</v>
      </c>
      <c r="BG18" s="24">
        <v>15411071</v>
      </c>
      <c r="BH18" s="24">
        <v>15909760</v>
      </c>
    </row>
    <row r="19" spans="1:60" x14ac:dyDescent="0.2">
      <c r="A19" s="13" t="s">
        <v>3</v>
      </c>
      <c r="B19" s="24">
        <v>9542414</v>
      </c>
      <c r="C19" s="24">
        <v>8678199</v>
      </c>
      <c r="D19" s="24">
        <v>8463400</v>
      </c>
      <c r="E19" s="24">
        <v>7482683</v>
      </c>
      <c r="F19" s="24">
        <v>7303411</v>
      </c>
      <c r="G19" s="24">
        <v>6846084</v>
      </c>
      <c r="H19" s="24">
        <v>7141677</v>
      </c>
      <c r="I19" s="24">
        <v>6682503</v>
      </c>
      <c r="J19" s="24">
        <v>6710409</v>
      </c>
      <c r="K19" s="24">
        <v>6803584</v>
      </c>
      <c r="L19" s="24">
        <v>6855685</v>
      </c>
      <c r="M19" s="24">
        <v>6533666</v>
      </c>
      <c r="N19" s="24">
        <v>7065243</v>
      </c>
      <c r="O19" s="24">
        <v>7282944</v>
      </c>
      <c r="P19" s="24">
        <v>7051387</v>
      </c>
      <c r="Q19" s="24">
        <v>7840056</v>
      </c>
      <c r="R19" s="24">
        <v>8611380</v>
      </c>
      <c r="S19" s="24">
        <v>8470159</v>
      </c>
      <c r="T19" s="24">
        <v>8058808</v>
      </c>
      <c r="U19" s="24">
        <v>7449205</v>
      </c>
      <c r="V19" s="24">
        <v>7412422</v>
      </c>
      <c r="W19" s="24">
        <v>6040064.0999102341</v>
      </c>
      <c r="X19" s="24">
        <v>5452731.0106766922</v>
      </c>
      <c r="Y19" s="24">
        <v>5258201.7133826632</v>
      </c>
      <c r="Z19" s="24">
        <v>5244994.9646951063</v>
      </c>
      <c r="AA19" s="24">
        <v>5052074.9531472595</v>
      </c>
      <c r="AB19" s="24">
        <v>4704549</v>
      </c>
      <c r="AC19" s="24">
        <v>5491125</v>
      </c>
      <c r="AD19" s="24">
        <v>5028126</v>
      </c>
      <c r="AE19" s="24">
        <v>5435056</v>
      </c>
      <c r="AF19" s="24">
        <v>6053964</v>
      </c>
      <c r="AG19" s="24">
        <v>7071186</v>
      </c>
      <c r="AH19" s="24">
        <v>8412321</v>
      </c>
      <c r="AI19" s="24">
        <v>7439098</v>
      </c>
      <c r="AJ19" s="24">
        <v>7743845</v>
      </c>
      <c r="AK19" s="24">
        <v>9119517</v>
      </c>
      <c r="AL19" s="24">
        <v>8882724</v>
      </c>
      <c r="AM19" s="24">
        <v>8323382</v>
      </c>
      <c r="AN19" s="24">
        <v>9503878</v>
      </c>
      <c r="AO19" s="24">
        <v>8372725</v>
      </c>
      <c r="AP19" s="24">
        <v>9322313</v>
      </c>
      <c r="AQ19" s="24">
        <v>8987857</v>
      </c>
      <c r="AR19" s="24">
        <v>9596336</v>
      </c>
      <c r="AS19" s="24">
        <v>10211397</v>
      </c>
      <c r="AT19" s="24">
        <v>10882578</v>
      </c>
      <c r="AU19" s="24">
        <v>11582508</v>
      </c>
      <c r="AV19" s="24">
        <v>10700620</v>
      </c>
      <c r="AW19" s="24">
        <v>10009135</v>
      </c>
      <c r="AX19" s="24">
        <v>11129660</v>
      </c>
      <c r="AY19" s="24">
        <v>11323650</v>
      </c>
      <c r="AZ19" s="24">
        <v>11713275</v>
      </c>
      <c r="BA19" s="24">
        <v>11691927</v>
      </c>
      <c r="BB19" s="24">
        <v>11258876</v>
      </c>
      <c r="BC19" s="24">
        <v>12053238</v>
      </c>
      <c r="BD19" s="24">
        <v>3848621</v>
      </c>
      <c r="BE19" s="24">
        <v>5612053</v>
      </c>
      <c r="BF19" s="24">
        <v>8952194</v>
      </c>
      <c r="BG19" s="24">
        <v>10779408</v>
      </c>
      <c r="BH19" s="24">
        <v>11409629</v>
      </c>
    </row>
    <row r="20" spans="1:60" x14ac:dyDescent="0.2">
      <c r="A20" s="13" t="s">
        <v>4</v>
      </c>
      <c r="B20" s="24">
        <v>23897861</v>
      </c>
      <c r="C20" s="24">
        <v>20725319</v>
      </c>
      <c r="D20" s="24">
        <v>20232287</v>
      </c>
      <c r="E20" s="24">
        <v>18537872</v>
      </c>
      <c r="F20" s="24">
        <v>18190199</v>
      </c>
      <c r="G20" s="24">
        <v>17343424</v>
      </c>
      <c r="H20" s="24">
        <v>18295225</v>
      </c>
      <c r="I20" s="24">
        <v>17120223</v>
      </c>
      <c r="J20" s="24">
        <v>17199767</v>
      </c>
      <c r="K20" s="24">
        <v>17717448</v>
      </c>
      <c r="L20" s="24">
        <v>17125804</v>
      </c>
      <c r="M20" s="24">
        <v>15976060</v>
      </c>
      <c r="N20" s="24">
        <v>16850547</v>
      </c>
      <c r="O20" s="24">
        <v>16664145</v>
      </c>
      <c r="P20" s="24">
        <v>16369971</v>
      </c>
      <c r="Q20" s="24">
        <v>17397245</v>
      </c>
      <c r="R20" s="24">
        <v>18498289</v>
      </c>
      <c r="S20" s="24">
        <v>17633033</v>
      </c>
      <c r="T20" s="24">
        <v>16664198</v>
      </c>
      <c r="U20" s="24">
        <v>15197022</v>
      </c>
      <c r="V20" s="24">
        <v>14841859</v>
      </c>
      <c r="W20" s="24">
        <v>11893374.127037575</v>
      </c>
      <c r="X20" s="24">
        <v>10529787.416166512</v>
      </c>
      <c r="Y20" s="24">
        <v>10231150.353961937</v>
      </c>
      <c r="Z20" s="24">
        <v>10569153.953599196</v>
      </c>
      <c r="AA20" s="24">
        <v>9833053.7678902987</v>
      </c>
      <c r="AB20" s="24">
        <v>9827371</v>
      </c>
      <c r="AC20" s="24">
        <v>11220676</v>
      </c>
      <c r="AD20" s="24">
        <v>10819524</v>
      </c>
      <c r="AE20" s="24">
        <v>12067373</v>
      </c>
      <c r="AF20" s="24">
        <v>12042860</v>
      </c>
      <c r="AG20" s="24">
        <v>13439990</v>
      </c>
      <c r="AH20" s="24">
        <v>15633336</v>
      </c>
      <c r="AI20" s="24">
        <v>13639713</v>
      </c>
      <c r="AJ20" s="24">
        <v>14423741</v>
      </c>
      <c r="AK20" s="24">
        <v>15858593</v>
      </c>
      <c r="AL20" s="24">
        <v>15561898</v>
      </c>
      <c r="AM20" s="24">
        <v>14686050</v>
      </c>
      <c r="AN20" s="24">
        <v>16341905</v>
      </c>
      <c r="AO20" s="24">
        <v>14477221</v>
      </c>
      <c r="AP20" s="24">
        <v>15142040</v>
      </c>
      <c r="AQ20" s="24">
        <v>14346001</v>
      </c>
      <c r="AR20" s="24">
        <v>15205360</v>
      </c>
      <c r="AS20" s="24">
        <v>16279380</v>
      </c>
      <c r="AT20" s="24">
        <v>17404104</v>
      </c>
      <c r="AU20" s="24">
        <v>17680178</v>
      </c>
      <c r="AV20" s="24">
        <v>16610105</v>
      </c>
      <c r="AW20" s="24">
        <v>15786302</v>
      </c>
      <c r="AX20" s="24">
        <v>17197359</v>
      </c>
      <c r="AY20" s="24">
        <v>16806957</v>
      </c>
      <c r="AZ20" s="24">
        <v>17953926</v>
      </c>
      <c r="BA20" s="24">
        <v>17437074</v>
      </c>
      <c r="BB20" s="24">
        <v>17273887</v>
      </c>
      <c r="BC20" s="24">
        <v>18199367</v>
      </c>
      <c r="BD20" s="24">
        <v>5132502</v>
      </c>
      <c r="BE20" s="24">
        <v>7732375</v>
      </c>
      <c r="BF20" s="24">
        <v>13249127</v>
      </c>
      <c r="BG20" s="24">
        <v>15562552</v>
      </c>
      <c r="BH20" s="24">
        <v>15548273</v>
      </c>
    </row>
    <row r="21" spans="1:60" s="2" customFormat="1" x14ac:dyDescent="0.2">
      <c r="A21" s="9" t="s">
        <v>0</v>
      </c>
      <c r="B21" s="25">
        <v>234174965</v>
      </c>
      <c r="C21" s="25">
        <v>211451427</v>
      </c>
      <c r="D21" s="25">
        <v>203238341</v>
      </c>
      <c r="E21" s="25">
        <v>183876445</v>
      </c>
      <c r="F21" s="25">
        <v>184424699</v>
      </c>
      <c r="G21" s="25">
        <v>176981166</v>
      </c>
      <c r="H21" s="25">
        <v>184403643</v>
      </c>
      <c r="I21" s="25">
        <v>175958150</v>
      </c>
      <c r="J21" s="25">
        <v>179398172</v>
      </c>
      <c r="K21" s="25">
        <v>181671085</v>
      </c>
      <c r="L21" s="25">
        <v>177294089</v>
      </c>
      <c r="M21" s="25">
        <v>170252694</v>
      </c>
      <c r="N21" s="25">
        <v>178538231</v>
      </c>
      <c r="O21" s="25">
        <v>178097720</v>
      </c>
      <c r="P21" s="25">
        <v>175426609</v>
      </c>
      <c r="Q21" s="25">
        <v>189226789</v>
      </c>
      <c r="R21" s="25">
        <v>201932906</v>
      </c>
      <c r="S21" s="25">
        <v>198865913</v>
      </c>
      <c r="T21" s="25">
        <v>190869477</v>
      </c>
      <c r="U21" s="25">
        <v>175081256</v>
      </c>
      <c r="V21" s="25">
        <v>168128550</v>
      </c>
      <c r="W21" s="25">
        <v>136943718.79256684</v>
      </c>
      <c r="X21" s="25">
        <v>124749238.97824723</v>
      </c>
      <c r="Y21" s="25">
        <v>120913682.66815069</v>
      </c>
      <c r="Z21" s="25">
        <v>121924502.00000003</v>
      </c>
      <c r="AA21" s="25">
        <v>117498089.00000003</v>
      </c>
      <c r="AB21" s="25">
        <v>115995055</v>
      </c>
      <c r="AC21" s="25">
        <v>132723734</v>
      </c>
      <c r="AD21" s="25">
        <v>124418795</v>
      </c>
      <c r="AE21" s="25">
        <v>130235475</v>
      </c>
      <c r="AF21" s="25">
        <v>136740581</v>
      </c>
      <c r="AG21" s="25">
        <v>149259035</v>
      </c>
      <c r="AH21" s="25">
        <v>170602623.06999999</v>
      </c>
      <c r="AI21" s="25">
        <v>153608166</v>
      </c>
      <c r="AJ21" s="25">
        <v>165757516</v>
      </c>
      <c r="AK21" s="25">
        <v>187454335</v>
      </c>
      <c r="AL21" s="25">
        <v>184409634</v>
      </c>
      <c r="AM21" s="25">
        <v>173457272.00999999</v>
      </c>
      <c r="AN21" s="25">
        <v>195845316</v>
      </c>
      <c r="AO21" s="25">
        <v>175630965</v>
      </c>
      <c r="AP21" s="25">
        <v>188761628</v>
      </c>
      <c r="AQ21" s="25">
        <v>178484145</v>
      </c>
      <c r="AR21" s="25">
        <v>190308477</v>
      </c>
      <c r="AS21" s="25">
        <v>201623826</v>
      </c>
      <c r="AT21" s="25">
        <v>207101103</v>
      </c>
      <c r="AU21" s="25">
        <v>217199041</v>
      </c>
      <c r="AV21" s="25">
        <v>203584017</v>
      </c>
      <c r="AW21" s="25">
        <v>193740612</v>
      </c>
      <c r="AX21" s="25">
        <v>209078803</v>
      </c>
      <c r="AY21" s="25">
        <v>205358716</v>
      </c>
      <c r="AZ21" s="25">
        <v>213204571</v>
      </c>
      <c r="BA21" s="25">
        <v>209413121</v>
      </c>
      <c r="BB21" s="25">
        <v>201212933</v>
      </c>
      <c r="BC21" s="25">
        <v>213223642</v>
      </c>
      <c r="BD21" s="25">
        <v>65263711</v>
      </c>
      <c r="BE21" s="25">
        <v>95502573</v>
      </c>
      <c r="BF21" s="25">
        <v>152071030</v>
      </c>
      <c r="BG21" s="25">
        <v>180431873</v>
      </c>
      <c r="BH21" s="25">
        <v>181524251</v>
      </c>
    </row>
  </sheetData>
  <phoneticPr fontId="1" type="noConversion"/>
  <hyperlinks>
    <hyperlink ref="A2" location="Sommaire!A1" display="Retour au menu &quot;Exploitation des films&quot;" xr:uid="{00000000-0004-0000-0800-000000000000}"/>
  </hyperlinks>
  <pageMargins left="0.78740157499999996" right="0.78740157499999996" top="0.984251969" bottom="0.984251969" header="0.4921259845" footer="0.492125984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dimension ref="A1:BH21"/>
  <sheetViews>
    <sheetView workbookViewId="0">
      <pane xSplit="1" ySplit="7" topLeftCell="B8" activePane="bottomRight" state="frozen"/>
      <selection pane="topRight"/>
      <selection pane="bottomLeft"/>
      <selection pane="bottomRight" activeCell="B8" sqref="B8"/>
    </sheetView>
  </sheetViews>
  <sheetFormatPr baseColWidth="10" defaultColWidth="5.5703125" defaultRowHeight="12" x14ac:dyDescent="0.2"/>
  <cols>
    <col min="1" max="1" width="31.7109375" style="1" bestFit="1" customWidth="1"/>
    <col min="2" max="36" width="6.42578125" style="1" bestFit="1" customWidth="1"/>
    <col min="37" max="38" width="7.85546875" style="1" bestFit="1" customWidth="1"/>
    <col min="39" max="39" width="6.42578125" style="4" bestFit="1" customWidth="1"/>
    <col min="40" max="51" width="7.85546875" style="4" bestFit="1" customWidth="1"/>
    <col min="52" max="55" width="7.85546875" style="1" bestFit="1" customWidth="1"/>
    <col min="56" max="57" width="6.42578125" style="1" bestFit="1" customWidth="1"/>
    <col min="58" max="60" width="7.85546875" style="1" bestFit="1" customWidth="1"/>
    <col min="61"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c r="BF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c r="BF2" s="39"/>
    </row>
    <row r="3" spans="1:60" s="36" customFormat="1" ht="12.75" x14ac:dyDescent="0.2">
      <c r="AM3" s="37"/>
      <c r="AN3" s="37"/>
      <c r="AO3" s="37"/>
      <c r="AP3" s="37"/>
      <c r="AQ3" s="37"/>
      <c r="AR3" s="37"/>
      <c r="AS3" s="37"/>
      <c r="AT3" s="37"/>
      <c r="AU3" s="37"/>
      <c r="AV3" s="37"/>
      <c r="AW3" s="37"/>
      <c r="AX3" s="37"/>
      <c r="AY3" s="37"/>
      <c r="AZ3" s="37"/>
      <c r="BA3" s="37"/>
      <c r="BB3" s="37"/>
      <c r="BC3" s="37"/>
      <c r="BD3" s="37"/>
      <c r="BE3" s="37"/>
      <c r="BF3" s="37"/>
    </row>
    <row r="4" spans="1:60" s="36" customFormat="1" ht="12.75" x14ac:dyDescent="0.2">
      <c r="AM4" s="37"/>
      <c r="AN4" s="37"/>
      <c r="AO4" s="37"/>
      <c r="AP4" s="37"/>
      <c r="AQ4" s="37"/>
      <c r="AR4" s="37"/>
      <c r="AS4" s="37"/>
      <c r="AT4" s="37"/>
      <c r="AU4" s="37"/>
      <c r="AV4" s="37"/>
      <c r="AW4" s="37"/>
      <c r="AX4" s="37"/>
      <c r="AY4" s="37"/>
      <c r="AZ4" s="37"/>
      <c r="BA4" s="37"/>
      <c r="BB4" s="37"/>
      <c r="BC4" s="37"/>
      <c r="BD4" s="37"/>
      <c r="BE4" s="37"/>
      <c r="BF4" s="37"/>
    </row>
    <row r="5" spans="1:60" ht="12.75" x14ac:dyDescent="0.2">
      <c r="A5" s="3"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11"/>
      <c r="B7" s="12">
        <v>1966</v>
      </c>
      <c r="C7" s="12">
        <v>1967</v>
      </c>
      <c r="D7" s="12">
        <v>1968</v>
      </c>
      <c r="E7" s="12">
        <v>1969</v>
      </c>
      <c r="F7" s="12">
        <v>1970</v>
      </c>
      <c r="G7" s="12">
        <v>1971</v>
      </c>
      <c r="H7" s="12">
        <v>1972</v>
      </c>
      <c r="I7" s="12">
        <v>1973</v>
      </c>
      <c r="J7" s="12">
        <v>1974</v>
      </c>
      <c r="K7" s="12">
        <v>1975</v>
      </c>
      <c r="L7" s="12">
        <v>1976</v>
      </c>
      <c r="M7" s="12">
        <v>1977</v>
      </c>
      <c r="N7" s="12">
        <v>1978</v>
      </c>
      <c r="O7" s="12">
        <v>1979</v>
      </c>
      <c r="P7" s="12">
        <v>1980</v>
      </c>
      <c r="Q7" s="12">
        <v>1981</v>
      </c>
      <c r="R7" s="12">
        <v>1982</v>
      </c>
      <c r="S7" s="12">
        <v>1983</v>
      </c>
      <c r="T7" s="12">
        <v>1984</v>
      </c>
      <c r="U7" s="12">
        <v>1985</v>
      </c>
      <c r="V7" s="12">
        <v>1986</v>
      </c>
      <c r="W7" s="12">
        <v>1987</v>
      </c>
      <c r="X7" s="12">
        <v>1988</v>
      </c>
      <c r="Y7" s="12">
        <v>1989</v>
      </c>
      <c r="Z7" s="12">
        <v>1990</v>
      </c>
      <c r="AA7" s="12">
        <v>1991</v>
      </c>
      <c r="AB7" s="12">
        <v>1992</v>
      </c>
      <c r="AC7" s="12">
        <v>1993</v>
      </c>
      <c r="AD7" s="12">
        <v>1994</v>
      </c>
      <c r="AE7" s="12">
        <v>1995</v>
      </c>
      <c r="AF7" s="12">
        <v>1996</v>
      </c>
      <c r="AG7" s="12">
        <v>1997</v>
      </c>
      <c r="AH7" s="12">
        <v>1998</v>
      </c>
      <c r="AI7" s="12">
        <v>1999</v>
      </c>
      <c r="AJ7" s="12">
        <v>2000</v>
      </c>
      <c r="AK7" s="12">
        <v>2001</v>
      </c>
      <c r="AL7" s="12">
        <v>2002</v>
      </c>
      <c r="AM7" s="12">
        <v>2003</v>
      </c>
      <c r="AN7" s="12">
        <v>2004</v>
      </c>
      <c r="AO7" s="12">
        <v>2005</v>
      </c>
      <c r="AP7" s="12">
        <v>2006</v>
      </c>
      <c r="AQ7" s="12">
        <v>2007</v>
      </c>
      <c r="AR7" s="12">
        <v>2008</v>
      </c>
      <c r="AS7" s="12">
        <v>2009</v>
      </c>
      <c r="AT7" s="12">
        <v>2010</v>
      </c>
      <c r="AU7" s="12">
        <v>2011</v>
      </c>
      <c r="AV7" s="12">
        <v>2012</v>
      </c>
      <c r="AW7" s="12">
        <v>2013</v>
      </c>
      <c r="AX7" s="12">
        <v>2014</v>
      </c>
      <c r="AY7" s="12">
        <v>2015</v>
      </c>
      <c r="AZ7" s="12">
        <v>2016</v>
      </c>
      <c r="BA7" s="12">
        <v>2017</v>
      </c>
      <c r="BB7" s="12">
        <v>2018</v>
      </c>
      <c r="BC7" s="12">
        <v>2019</v>
      </c>
      <c r="BD7" s="12">
        <v>2020</v>
      </c>
      <c r="BE7" s="12">
        <v>2021</v>
      </c>
      <c r="BF7" s="12">
        <v>2022</v>
      </c>
      <c r="BG7" s="12">
        <v>2023</v>
      </c>
      <c r="BH7" s="12">
        <v>2024</v>
      </c>
    </row>
    <row r="8" spans="1:60" x14ac:dyDescent="0.2">
      <c r="A8" s="13" t="s">
        <v>72</v>
      </c>
      <c r="B8" s="24">
        <v>11430225.609300612</v>
      </c>
      <c r="C8" s="24">
        <v>11478893.128665445</v>
      </c>
      <c r="D8" s="24">
        <v>11365514.202912692</v>
      </c>
      <c r="E8" s="24">
        <v>11956259.023076206</v>
      </c>
      <c r="F8" s="24">
        <v>13135298.045451151</v>
      </c>
      <c r="G8" s="24">
        <v>14105632.53383987</v>
      </c>
      <c r="H8" s="24">
        <v>16212011.91541519</v>
      </c>
      <c r="I8" s="24">
        <v>17734351.337054107</v>
      </c>
      <c r="J8" s="24">
        <v>20665546.064757295</v>
      </c>
      <c r="K8" s="24">
        <v>23638908.6479754</v>
      </c>
      <c r="L8" s="24">
        <v>27049095.901103273</v>
      </c>
      <c r="M8" s="24">
        <v>28833539.088690262</v>
      </c>
      <c r="N8" s="24">
        <v>33478896.025196776</v>
      </c>
      <c r="O8" s="24">
        <v>36792584.727352552</v>
      </c>
      <c r="P8" s="24">
        <v>45259608.175535895</v>
      </c>
      <c r="Q8" s="24">
        <v>58207333.102627158</v>
      </c>
      <c r="R8" s="24">
        <v>71599154.212852374</v>
      </c>
      <c r="S8" s="24">
        <v>77037324.092890233</v>
      </c>
      <c r="T8" s="24">
        <v>78516738.597194642</v>
      </c>
      <c r="U8" s="24">
        <v>76985636.4060449</v>
      </c>
      <c r="V8" s="24">
        <v>79981038.097563565</v>
      </c>
      <c r="W8" s="24">
        <v>70344727.409011826</v>
      </c>
      <c r="X8" s="24">
        <v>65793363.209892213</v>
      </c>
      <c r="Y8" s="24">
        <v>67472589.209945515</v>
      </c>
      <c r="Z8" s="24">
        <v>70265099.075494662</v>
      </c>
      <c r="AA8" s="24">
        <v>69716322.24954474</v>
      </c>
      <c r="AB8" s="24">
        <v>69573631.560000002</v>
      </c>
      <c r="AC8" s="24">
        <v>79332115.019999996</v>
      </c>
      <c r="AD8" s="24">
        <v>73424213.179999992</v>
      </c>
      <c r="AE8" s="24">
        <v>77613595.140000001</v>
      </c>
      <c r="AF8" s="24">
        <v>82934198.63000001</v>
      </c>
      <c r="AG8" s="24">
        <v>89786369.390000001</v>
      </c>
      <c r="AH8" s="24">
        <v>109450980.69999999</v>
      </c>
      <c r="AI8" s="24">
        <v>96202320.820000008</v>
      </c>
      <c r="AJ8" s="24">
        <v>100721734.92999999</v>
      </c>
      <c r="AK8" s="24">
        <v>123151984.54000001</v>
      </c>
      <c r="AL8" s="24">
        <v>125295392.48</v>
      </c>
      <c r="AM8" s="24">
        <v>117014898.16</v>
      </c>
      <c r="AN8" s="24">
        <v>135605774.76999998</v>
      </c>
      <c r="AO8" s="24">
        <v>121901189.12</v>
      </c>
      <c r="AP8" s="24">
        <v>131625876.63000001</v>
      </c>
      <c r="AQ8" s="24">
        <v>125454391.88</v>
      </c>
      <c r="AR8" s="24">
        <v>134461238.55999997</v>
      </c>
      <c r="AS8" s="24">
        <v>148403754.88999999</v>
      </c>
      <c r="AT8" s="24">
        <v>160602859.31</v>
      </c>
      <c r="AU8" s="24">
        <v>166214672.02999997</v>
      </c>
      <c r="AV8" s="24">
        <v>157764318.28000003</v>
      </c>
      <c r="AW8" s="24">
        <v>154141566.75999999</v>
      </c>
      <c r="AX8" s="24">
        <v>161929676.31</v>
      </c>
      <c r="AY8" s="24">
        <v>161597965.53</v>
      </c>
      <c r="AZ8" s="24">
        <v>168602280.44</v>
      </c>
      <c r="BA8" s="24">
        <v>163993071.55999997</v>
      </c>
      <c r="BB8" s="24">
        <v>161474732.97</v>
      </c>
      <c r="BC8" s="24">
        <v>173854946.34999999</v>
      </c>
      <c r="BD8" s="24">
        <v>51790843.770000003</v>
      </c>
      <c r="BE8" s="24">
        <v>80165610.280000001</v>
      </c>
      <c r="BF8" s="24">
        <v>130867411.92</v>
      </c>
      <c r="BG8" s="24">
        <v>162313138.05000001</v>
      </c>
      <c r="BH8" s="24">
        <v>165919171</v>
      </c>
    </row>
    <row r="9" spans="1:60" x14ac:dyDescent="0.2">
      <c r="A9" s="13" t="s">
        <v>73</v>
      </c>
      <c r="B9" s="24">
        <v>3552628.449730699</v>
      </c>
      <c r="C9" s="24">
        <v>3663063.7374096173</v>
      </c>
      <c r="D9" s="24">
        <v>3596569.439765106</v>
      </c>
      <c r="E9" s="24">
        <v>3593348.8018269488</v>
      </c>
      <c r="F9" s="24">
        <v>4027308.954702823</v>
      </c>
      <c r="G9" s="24">
        <v>4216850.0374262342</v>
      </c>
      <c r="H9" s="24">
        <v>5167124.0645347182</v>
      </c>
      <c r="I9" s="24">
        <v>5684610.7290569348</v>
      </c>
      <c r="J9" s="24">
        <v>6579035.3635985283</v>
      </c>
      <c r="K9" s="24">
        <v>7745709.5510833794</v>
      </c>
      <c r="L9" s="24">
        <v>8565479.7494347952</v>
      </c>
      <c r="M9" s="24">
        <v>8860469.5124832876</v>
      </c>
      <c r="N9" s="24">
        <v>10599233.486341331</v>
      </c>
      <c r="O9" s="24">
        <v>11642686.487071563</v>
      </c>
      <c r="P9" s="24">
        <v>13904670.428092085</v>
      </c>
      <c r="Q9" s="24">
        <v>17474212.029142156</v>
      </c>
      <c r="R9" s="24">
        <v>22614240.262700148</v>
      </c>
      <c r="S9" s="24">
        <v>23993195.743013643</v>
      </c>
      <c r="T9" s="24">
        <v>24078894.958053656</v>
      </c>
      <c r="U9" s="24">
        <v>22630893.94579218</v>
      </c>
      <c r="V9" s="24">
        <v>23464820.592385076</v>
      </c>
      <c r="W9" s="24">
        <v>18986678.84027984</v>
      </c>
      <c r="X9" s="24">
        <v>17418789.108194664</v>
      </c>
      <c r="Y9" s="24">
        <v>17594913.575657718</v>
      </c>
      <c r="Z9" s="24">
        <v>17732444.18829795</v>
      </c>
      <c r="AA9" s="24">
        <v>17968255.469007924</v>
      </c>
      <c r="AB9" s="24">
        <v>18163693.190000001</v>
      </c>
      <c r="AC9" s="24">
        <v>22450421.09</v>
      </c>
      <c r="AD9" s="24">
        <v>20587201.59</v>
      </c>
      <c r="AE9" s="24">
        <v>22417164.740000002</v>
      </c>
      <c r="AF9" s="24">
        <v>22843475.580000002</v>
      </c>
      <c r="AG9" s="24">
        <v>24310460.670000002</v>
      </c>
      <c r="AH9" s="24">
        <v>29268134.759999998</v>
      </c>
      <c r="AI9" s="24">
        <v>24313103.989999998</v>
      </c>
      <c r="AJ9" s="24">
        <v>26306065.920000002</v>
      </c>
      <c r="AK9" s="24">
        <v>31044064.940000005</v>
      </c>
      <c r="AL9" s="24">
        <v>30573430.199999996</v>
      </c>
      <c r="AM9" s="24">
        <v>29700590.209999997</v>
      </c>
      <c r="AN9" s="24">
        <v>35344930.040000007</v>
      </c>
      <c r="AO9" s="24">
        <v>31129089.640000004</v>
      </c>
      <c r="AP9" s="24">
        <v>35846006.07</v>
      </c>
      <c r="AQ9" s="24">
        <v>33233734.410000004</v>
      </c>
      <c r="AR9" s="24">
        <v>36279422.32</v>
      </c>
      <c r="AS9" s="24">
        <v>37335530.490000002</v>
      </c>
      <c r="AT9" s="24">
        <v>39394617.439999998</v>
      </c>
      <c r="AU9" s="24">
        <v>41742189.520000003</v>
      </c>
      <c r="AV9" s="24">
        <v>38941570.890000001</v>
      </c>
      <c r="AW9" s="24">
        <v>38597771.710000008</v>
      </c>
      <c r="AX9" s="24">
        <v>43534975.839999996</v>
      </c>
      <c r="AY9" s="24">
        <v>45355985.950000003</v>
      </c>
      <c r="AZ9" s="24">
        <v>47727949</v>
      </c>
      <c r="BA9" s="24">
        <v>46718720.660000004</v>
      </c>
      <c r="BB9" s="24">
        <v>44611592.82</v>
      </c>
      <c r="BC9" s="24">
        <v>48520136.910000004</v>
      </c>
      <c r="BD9" s="24">
        <v>14396342.110000001</v>
      </c>
      <c r="BE9" s="24">
        <v>21723467.520000007</v>
      </c>
      <c r="BF9" s="24">
        <v>35370286.530000001</v>
      </c>
      <c r="BG9" s="24">
        <v>43191408.390000001</v>
      </c>
      <c r="BH9" s="24">
        <v>44243777.300000004</v>
      </c>
    </row>
    <row r="10" spans="1:60" x14ac:dyDescent="0.2">
      <c r="A10" s="13" t="s">
        <v>1</v>
      </c>
      <c r="B10" s="24">
        <v>3290325.4329170967</v>
      </c>
      <c r="C10" s="24">
        <v>3327203.6124319127</v>
      </c>
      <c r="D10" s="24">
        <v>3406457.8928191937</v>
      </c>
      <c r="E10" s="24">
        <v>3541378.6269526812</v>
      </c>
      <c r="F10" s="24">
        <v>3845390.7801883356</v>
      </c>
      <c r="G10" s="24">
        <v>4151397.1190184727</v>
      </c>
      <c r="H10" s="24">
        <v>4772076.6757577099</v>
      </c>
      <c r="I10" s="24">
        <v>5333649.4617787451</v>
      </c>
      <c r="J10" s="24">
        <v>6267826.2447081134</v>
      </c>
      <c r="K10" s="24">
        <v>7092505.7587616267</v>
      </c>
      <c r="L10" s="24">
        <v>8202186.2713562017</v>
      </c>
      <c r="M10" s="24">
        <v>8390874.7067262027</v>
      </c>
      <c r="N10" s="24">
        <v>10191235.24865197</v>
      </c>
      <c r="O10" s="24">
        <v>11902993.336453458</v>
      </c>
      <c r="P10" s="24">
        <v>14851212.655707616</v>
      </c>
      <c r="Q10" s="24">
        <v>17948027.690839492</v>
      </c>
      <c r="R10" s="24">
        <v>22577013.279833894</v>
      </c>
      <c r="S10" s="24">
        <v>24297220.24461969</v>
      </c>
      <c r="T10" s="24">
        <v>24778424.195488423</v>
      </c>
      <c r="U10" s="24">
        <v>25468699.015331801</v>
      </c>
      <c r="V10" s="24">
        <v>26229730.633237366</v>
      </c>
      <c r="W10" s="24">
        <v>21767056.615699902</v>
      </c>
      <c r="X10" s="24">
        <v>21256333.255588703</v>
      </c>
      <c r="Y10" s="24">
        <v>21109932.906165618</v>
      </c>
      <c r="Z10" s="24">
        <v>21800775.628324009</v>
      </c>
      <c r="AA10" s="24">
        <v>22550725.100832716</v>
      </c>
      <c r="AB10" s="24">
        <v>22516656.939999998</v>
      </c>
      <c r="AC10" s="24">
        <v>26668586.710000001</v>
      </c>
      <c r="AD10" s="24">
        <v>25777476.09</v>
      </c>
      <c r="AE10" s="24">
        <v>27092801.34</v>
      </c>
      <c r="AF10" s="24">
        <v>28444260.339999996</v>
      </c>
      <c r="AG10" s="24">
        <v>30639605.189999998</v>
      </c>
      <c r="AH10" s="24">
        <v>36051072.780000001</v>
      </c>
      <c r="AI10" s="24">
        <v>31214893.469999999</v>
      </c>
      <c r="AJ10" s="24">
        <v>33006910.899999999</v>
      </c>
      <c r="AK10" s="24">
        <v>37238772.259999998</v>
      </c>
      <c r="AL10" s="24">
        <v>36445252.760000005</v>
      </c>
      <c r="AM10" s="24">
        <v>35538412.630000003</v>
      </c>
      <c r="AN10" s="24">
        <v>42826849.730000004</v>
      </c>
      <c r="AO10" s="24">
        <v>38510138.980000004</v>
      </c>
      <c r="AP10" s="24">
        <v>45067906.019999996</v>
      </c>
      <c r="AQ10" s="24">
        <v>43468571.039999999</v>
      </c>
      <c r="AR10" s="24">
        <v>47907238.450000003</v>
      </c>
      <c r="AS10" s="24">
        <v>53172963.25</v>
      </c>
      <c r="AT10" s="24">
        <v>55472573.530000001</v>
      </c>
      <c r="AU10" s="24">
        <v>59982595.860000007</v>
      </c>
      <c r="AV10" s="24">
        <v>56890801.210000001</v>
      </c>
      <c r="AW10" s="24">
        <v>52596396.490000002</v>
      </c>
      <c r="AX10" s="24">
        <v>57295760.030000001</v>
      </c>
      <c r="AY10" s="24">
        <v>59057734.620000005</v>
      </c>
      <c r="AZ10" s="24">
        <v>61471876.440000005</v>
      </c>
      <c r="BA10" s="24">
        <v>62412091.049999997</v>
      </c>
      <c r="BB10" s="24">
        <v>59179970.909999996</v>
      </c>
      <c r="BC10" s="24">
        <v>65686823.130000003</v>
      </c>
      <c r="BD10" s="24">
        <v>20665658.710000001</v>
      </c>
      <c r="BE10" s="24">
        <v>32962498.399999999</v>
      </c>
      <c r="BF10" s="24">
        <v>52825803.010000005</v>
      </c>
      <c r="BG10" s="24">
        <v>67222374.160000011</v>
      </c>
      <c r="BH10" s="24">
        <v>69073554.549999997</v>
      </c>
    </row>
    <row r="11" spans="1:60" x14ac:dyDescent="0.2">
      <c r="A11" s="13" t="s">
        <v>74</v>
      </c>
      <c r="B11" s="24">
        <v>2751508.2543520387</v>
      </c>
      <c r="C11" s="24">
        <v>2877261.7717319885</v>
      </c>
      <c r="D11" s="24">
        <v>2767922.8973850422</v>
      </c>
      <c r="E11" s="24">
        <v>2906873.1639421489</v>
      </c>
      <c r="F11" s="24">
        <v>3170796.7138089845</v>
      </c>
      <c r="G11" s="24">
        <v>3340669.2816754756</v>
      </c>
      <c r="H11" s="24">
        <v>3751421.0535141784</v>
      </c>
      <c r="I11" s="24">
        <v>6319466.5199090801</v>
      </c>
      <c r="J11" s="24">
        <v>4803778.7537902631</v>
      </c>
      <c r="K11" s="24">
        <v>5625227.7207194986</v>
      </c>
      <c r="L11" s="24">
        <v>6249249.4172636317</v>
      </c>
      <c r="M11" s="24">
        <v>6776854.4279579297</v>
      </c>
      <c r="N11" s="24">
        <v>8703301.588366311</v>
      </c>
      <c r="O11" s="24">
        <v>9605331.7519288622</v>
      </c>
      <c r="P11" s="24">
        <v>11267417.528892901</v>
      </c>
      <c r="Q11" s="24">
        <v>14952582.10522946</v>
      </c>
      <c r="R11" s="24">
        <v>17838063.927970886</v>
      </c>
      <c r="S11" s="24">
        <v>21062206.973932743</v>
      </c>
      <c r="T11" s="24">
        <v>21358353.977471083</v>
      </c>
      <c r="U11" s="24">
        <v>20325437.795465253</v>
      </c>
      <c r="V11" s="24">
        <v>20863143.507055033</v>
      </c>
      <c r="W11" s="24">
        <v>16183545.9273762</v>
      </c>
      <c r="X11" s="24">
        <v>15791035.537937162</v>
      </c>
      <c r="Y11" s="24">
        <v>15635103.794953402</v>
      </c>
      <c r="Z11" s="24">
        <v>16472233.821131315</v>
      </c>
      <c r="AA11" s="24">
        <v>16024560.946061032</v>
      </c>
      <c r="AB11" s="24">
        <v>15530499.080000002</v>
      </c>
      <c r="AC11" s="24">
        <v>18161185.960000001</v>
      </c>
      <c r="AD11" s="24">
        <v>18026768.219999999</v>
      </c>
      <c r="AE11" s="24">
        <v>19827357.75</v>
      </c>
      <c r="AF11" s="24">
        <v>20988012.260000002</v>
      </c>
      <c r="AG11" s="24">
        <v>22686046.160000004</v>
      </c>
      <c r="AH11" s="24">
        <v>26805326.149999999</v>
      </c>
      <c r="AI11" s="24">
        <v>22343479.259999998</v>
      </c>
      <c r="AJ11" s="24">
        <v>23373399.600000001</v>
      </c>
      <c r="AK11" s="24">
        <v>28109094.190000001</v>
      </c>
      <c r="AL11" s="24">
        <v>27362964.539999999</v>
      </c>
      <c r="AM11" s="24">
        <v>26711499.800000001</v>
      </c>
      <c r="AN11" s="24">
        <v>30780530.689999998</v>
      </c>
      <c r="AO11" s="24">
        <v>26994530.720000003</v>
      </c>
      <c r="AP11" s="24">
        <v>30756841.52</v>
      </c>
      <c r="AQ11" s="24">
        <v>29054521.609999999</v>
      </c>
      <c r="AR11" s="24">
        <v>33374535.849999998</v>
      </c>
      <c r="AS11" s="24">
        <v>37821551.780000001</v>
      </c>
      <c r="AT11" s="24">
        <v>40336215.339999996</v>
      </c>
      <c r="AU11" s="24">
        <v>43283992.549999997</v>
      </c>
      <c r="AV11" s="24">
        <v>40623152.579999998</v>
      </c>
      <c r="AW11" s="24">
        <v>38843144.280000001</v>
      </c>
      <c r="AX11" s="24">
        <v>42554891.719999999</v>
      </c>
      <c r="AY11" s="24">
        <v>43069711.409999996</v>
      </c>
      <c r="AZ11" s="24">
        <v>44630705.579999998</v>
      </c>
      <c r="BA11" s="24">
        <v>44888082.590000004</v>
      </c>
      <c r="BB11" s="24">
        <v>42914738.640000001</v>
      </c>
      <c r="BC11" s="24">
        <v>48045270.660000004</v>
      </c>
      <c r="BD11" s="24">
        <v>14381586.77</v>
      </c>
      <c r="BE11" s="24">
        <v>22014448.600000001</v>
      </c>
      <c r="BF11" s="24">
        <v>35479546.060000002</v>
      </c>
      <c r="BG11" s="24">
        <v>42805815.539999999</v>
      </c>
      <c r="BH11" s="24">
        <v>44222128.699999996</v>
      </c>
    </row>
    <row r="12" spans="1:60" x14ac:dyDescent="0.2">
      <c r="A12" s="13" t="s">
        <v>5</v>
      </c>
      <c r="B12" s="24">
        <v>335560.56265883282</v>
      </c>
      <c r="C12" s="24">
        <v>321954.18297235947</v>
      </c>
      <c r="D12" s="24">
        <v>326242.87872528227</v>
      </c>
      <c r="E12" s="24">
        <v>375620.96295946231</v>
      </c>
      <c r="F12" s="24">
        <v>429650.87650562462</v>
      </c>
      <c r="G12" s="24">
        <v>423937.08733956644</v>
      </c>
      <c r="H12" s="24">
        <v>439852.61229013489</v>
      </c>
      <c r="I12" s="24">
        <v>516548.34082112089</v>
      </c>
      <c r="J12" s="24">
        <v>545630.88739048445</v>
      </c>
      <c r="K12" s="24">
        <v>602865.58417701162</v>
      </c>
      <c r="L12" s="24">
        <v>751964.0769135782</v>
      </c>
      <c r="M12" s="24">
        <v>823537.67091440444</v>
      </c>
      <c r="N12" s="24">
        <v>902390.09569224808</v>
      </c>
      <c r="O12" s="24">
        <v>992294.92177078687</v>
      </c>
      <c r="P12" s="24">
        <v>1176925.7740979972</v>
      </c>
      <c r="Q12" s="24">
        <v>1538612.4395349086</v>
      </c>
      <c r="R12" s="24">
        <v>1980522.1988636451</v>
      </c>
      <c r="S12" s="24">
        <v>2004279.0914648368</v>
      </c>
      <c r="T12" s="24">
        <v>1817630.2714964547</v>
      </c>
      <c r="U12" s="24">
        <v>1614969.4263495931</v>
      </c>
      <c r="V12" s="24">
        <v>1743307.2594697517</v>
      </c>
      <c r="W12" s="24">
        <v>1587831.9767911616</v>
      </c>
      <c r="X12" s="24">
        <v>1366998.2940954971</v>
      </c>
      <c r="Y12" s="24">
        <v>1474764.6568296398</v>
      </c>
      <c r="Z12" s="24">
        <v>1421147.6498966285</v>
      </c>
      <c r="AA12" s="24">
        <v>1404242.1992745283</v>
      </c>
      <c r="AB12" s="24">
        <v>1469628.27</v>
      </c>
      <c r="AC12" s="24">
        <v>1802647.71</v>
      </c>
      <c r="AD12" s="24">
        <v>1548581.15</v>
      </c>
      <c r="AE12" s="24">
        <v>1683137.22</v>
      </c>
      <c r="AF12" s="24">
        <v>1713150.81</v>
      </c>
      <c r="AG12" s="24">
        <v>1815200.26</v>
      </c>
      <c r="AH12" s="24">
        <v>2248135.5099999998</v>
      </c>
      <c r="AI12" s="24">
        <v>1880898.29</v>
      </c>
      <c r="AJ12" s="24">
        <v>1884616.78</v>
      </c>
      <c r="AK12" s="24">
        <v>2137237.96</v>
      </c>
      <c r="AL12" s="24">
        <v>2160578.9300000002</v>
      </c>
      <c r="AM12" s="24">
        <v>2015696.28</v>
      </c>
      <c r="AN12" s="24">
        <v>2600074.25</v>
      </c>
      <c r="AO12" s="24">
        <v>1736854.1400000001</v>
      </c>
      <c r="AP12" s="24">
        <v>1846367.22</v>
      </c>
      <c r="AQ12" s="24">
        <v>1983452.8399999999</v>
      </c>
      <c r="AR12" s="24">
        <v>2041250.05</v>
      </c>
      <c r="AS12" s="24">
        <v>2451310.7000000002</v>
      </c>
      <c r="AT12" s="24">
        <v>2700288.18</v>
      </c>
      <c r="AU12" s="24">
        <v>2816625.52</v>
      </c>
      <c r="AV12" s="24">
        <v>2436491.63</v>
      </c>
      <c r="AW12" s="24">
        <v>2293106.19</v>
      </c>
      <c r="AX12" s="24">
        <v>2667660.7400000002</v>
      </c>
      <c r="AY12" s="24">
        <v>4072064.56</v>
      </c>
      <c r="AZ12" s="24">
        <v>4662745.5200000005</v>
      </c>
      <c r="BA12" s="24">
        <v>4607682.3600000003</v>
      </c>
      <c r="BB12" s="24">
        <v>4252600.3100000005</v>
      </c>
      <c r="BC12" s="24">
        <v>4766582.68</v>
      </c>
      <c r="BD12" s="24">
        <v>1316801.28</v>
      </c>
      <c r="BE12" s="24">
        <v>2228805.04</v>
      </c>
      <c r="BF12" s="24">
        <v>3903821.63</v>
      </c>
      <c r="BG12" s="24">
        <v>5097109.05</v>
      </c>
      <c r="BH12" s="24">
        <v>4831027.21</v>
      </c>
    </row>
    <row r="13" spans="1:60" x14ac:dyDescent="0.2">
      <c r="A13" s="13" t="s">
        <v>77</v>
      </c>
      <c r="B13" s="24">
        <v>9402968.7921616808</v>
      </c>
      <c r="C13" s="24">
        <v>9316214.1725753359</v>
      </c>
      <c r="D13" s="24">
        <v>9221229.1354463771</v>
      </c>
      <c r="E13" s="24">
        <v>9075695.2056308575</v>
      </c>
      <c r="F13" s="24">
        <v>9736253.1385441422</v>
      </c>
      <c r="G13" s="24">
        <v>10156669.720728645</v>
      </c>
      <c r="H13" s="24">
        <v>11216343.14444392</v>
      </c>
      <c r="I13" s="24">
        <v>12162262.465375017</v>
      </c>
      <c r="J13" s="24">
        <v>15415305.271534568</v>
      </c>
      <c r="K13" s="24">
        <v>17941379.236748751</v>
      </c>
      <c r="L13" s="24">
        <v>19311896.968856189</v>
      </c>
      <c r="M13" s="24">
        <v>20082910.007820636</v>
      </c>
      <c r="N13" s="24">
        <v>23140739.103325374</v>
      </c>
      <c r="O13" s="24">
        <v>24950994.806061983</v>
      </c>
      <c r="P13" s="24">
        <v>30151371.355134562</v>
      </c>
      <c r="Q13" s="24">
        <v>36494548.575592607</v>
      </c>
      <c r="R13" s="24">
        <v>44192156.193165109</v>
      </c>
      <c r="S13" s="24">
        <v>45419332.669671945</v>
      </c>
      <c r="T13" s="24">
        <v>45940601.594311818</v>
      </c>
      <c r="U13" s="24">
        <v>45541458.662686735</v>
      </c>
      <c r="V13" s="24">
        <v>48244574.691765338</v>
      </c>
      <c r="W13" s="24">
        <v>40511023.445477843</v>
      </c>
      <c r="X13" s="24">
        <v>37571903.494565643</v>
      </c>
      <c r="Y13" s="24">
        <v>38170637.522469178</v>
      </c>
      <c r="Z13" s="24">
        <v>40581004.163735218</v>
      </c>
      <c r="AA13" s="24">
        <v>40502045.219244368</v>
      </c>
      <c r="AB13" s="24">
        <v>39789344.329999998</v>
      </c>
      <c r="AC13" s="24">
        <v>47225563.149999991</v>
      </c>
      <c r="AD13" s="24">
        <v>45044679.529999994</v>
      </c>
      <c r="AE13" s="24">
        <v>50753417.190000005</v>
      </c>
      <c r="AF13" s="24">
        <v>53033976.560000002</v>
      </c>
      <c r="AG13" s="24">
        <v>57468641.170000002</v>
      </c>
      <c r="AH13" s="24">
        <v>67067646.420000002</v>
      </c>
      <c r="AI13" s="24">
        <v>59975856.669999994</v>
      </c>
      <c r="AJ13" s="24">
        <v>68487219.150000006</v>
      </c>
      <c r="AK13" s="24">
        <v>81277106.920000002</v>
      </c>
      <c r="AL13" s="24">
        <v>80568254.340000004</v>
      </c>
      <c r="AM13" s="24">
        <v>75537701.070000008</v>
      </c>
      <c r="AN13" s="24">
        <v>86746428.529999986</v>
      </c>
      <c r="AO13" s="24">
        <v>77692167.609999999</v>
      </c>
      <c r="AP13" s="24">
        <v>85691693.449999988</v>
      </c>
      <c r="AQ13" s="24">
        <v>82497159.870000005</v>
      </c>
      <c r="AR13" s="24">
        <v>88731000.180000007</v>
      </c>
      <c r="AS13" s="24">
        <v>95588802.159999996</v>
      </c>
      <c r="AT13" s="24">
        <v>97984122.380000025</v>
      </c>
      <c r="AU13" s="24">
        <v>104816967.06</v>
      </c>
      <c r="AV13" s="24">
        <v>99244921.609999985</v>
      </c>
      <c r="AW13" s="24">
        <v>93903467.210000008</v>
      </c>
      <c r="AX13" s="24">
        <v>100466275.89</v>
      </c>
      <c r="AY13" s="24">
        <v>101309307.81</v>
      </c>
      <c r="AZ13" s="24">
        <v>104487362.84</v>
      </c>
      <c r="BA13" s="24">
        <v>102701467.88</v>
      </c>
      <c r="BB13" s="24">
        <v>95976765.170000002</v>
      </c>
      <c r="BC13" s="24">
        <v>103976511.80999999</v>
      </c>
      <c r="BD13" s="24">
        <v>30374898.620000001</v>
      </c>
      <c r="BE13" s="24">
        <v>47178710.560000002</v>
      </c>
      <c r="BF13" s="24">
        <v>75953547.590000004</v>
      </c>
      <c r="BG13" s="24">
        <v>95024024.699999988</v>
      </c>
      <c r="BH13" s="24">
        <v>92836094.439999998</v>
      </c>
    </row>
    <row r="14" spans="1:60" x14ac:dyDescent="0.2">
      <c r="A14" s="13" t="s">
        <v>78</v>
      </c>
      <c r="B14" s="24">
        <v>7751359.6165602319</v>
      </c>
      <c r="C14" s="24">
        <v>7835788.6263886206</v>
      </c>
      <c r="D14" s="24">
        <v>7467929.4526927834</v>
      </c>
      <c r="E14" s="24">
        <v>7391498.3756557219</v>
      </c>
      <c r="F14" s="24">
        <v>8312132.5025878223</v>
      </c>
      <c r="G14" s="24">
        <v>8879724.8905034941</v>
      </c>
      <c r="H14" s="24">
        <v>10546115.827714317</v>
      </c>
      <c r="I14" s="24">
        <v>11254960.614796396</v>
      </c>
      <c r="J14" s="24">
        <v>13308785.789312411</v>
      </c>
      <c r="K14" s="24">
        <v>15806116.254571564</v>
      </c>
      <c r="L14" s="24">
        <v>17019172.293305811</v>
      </c>
      <c r="M14" s="24">
        <v>17477604.324673723</v>
      </c>
      <c r="N14" s="24">
        <v>20249686.793494087</v>
      </c>
      <c r="O14" s="24">
        <v>21196349.608282249</v>
      </c>
      <c r="P14" s="24">
        <v>25232167.047535129</v>
      </c>
      <c r="Q14" s="24">
        <v>31994694.164404072</v>
      </c>
      <c r="R14" s="24">
        <v>38335765.606587015</v>
      </c>
      <c r="S14" s="24">
        <v>40235880.858044051</v>
      </c>
      <c r="T14" s="24">
        <v>39138888.677154139</v>
      </c>
      <c r="U14" s="24">
        <v>37381294.658033982</v>
      </c>
      <c r="V14" s="24">
        <v>37677066.032802224</v>
      </c>
      <c r="W14" s="24">
        <v>30400787.143982973</v>
      </c>
      <c r="X14" s="24">
        <v>28591121.845971964</v>
      </c>
      <c r="Y14" s="24">
        <v>28761641.596457891</v>
      </c>
      <c r="Z14" s="24">
        <v>31341133.0732303</v>
      </c>
      <c r="AA14" s="24">
        <v>31531928.2034682</v>
      </c>
      <c r="AB14" s="24">
        <v>32134555.91</v>
      </c>
      <c r="AC14" s="24">
        <v>41261548.420000002</v>
      </c>
      <c r="AD14" s="24">
        <v>37203577.920000002</v>
      </c>
      <c r="AE14" s="24">
        <v>39505849.189999998</v>
      </c>
      <c r="AF14" s="24">
        <v>45206430.009999998</v>
      </c>
      <c r="AG14" s="24">
        <v>54838551.769999996</v>
      </c>
      <c r="AH14" s="24">
        <v>65805682.370000005</v>
      </c>
      <c r="AI14" s="24">
        <v>58168002.819999993</v>
      </c>
      <c r="AJ14" s="24">
        <v>64775420.460000008</v>
      </c>
      <c r="AK14" s="24">
        <v>71301134.689999998</v>
      </c>
      <c r="AL14" s="24">
        <v>70974053.980000004</v>
      </c>
      <c r="AM14" s="24">
        <v>67318622.670000002</v>
      </c>
      <c r="AN14" s="24">
        <v>77363270.349999994</v>
      </c>
      <c r="AO14" s="24">
        <v>70659500.099999994</v>
      </c>
      <c r="AP14" s="24">
        <v>78523835.540000007</v>
      </c>
      <c r="AQ14" s="24">
        <v>75619520.560000002</v>
      </c>
      <c r="AR14" s="24">
        <v>86226079.63000001</v>
      </c>
      <c r="AS14" s="24">
        <v>88379742.710000008</v>
      </c>
      <c r="AT14" s="24">
        <v>94847064.909999996</v>
      </c>
      <c r="AU14" s="24">
        <v>102392845.97</v>
      </c>
      <c r="AV14" s="24">
        <v>95705758.699999988</v>
      </c>
      <c r="AW14" s="24">
        <v>87524106.769999996</v>
      </c>
      <c r="AX14" s="24">
        <v>97753861.239999995</v>
      </c>
      <c r="AY14" s="24">
        <v>100468043.06</v>
      </c>
      <c r="AZ14" s="24">
        <v>104879524.39999999</v>
      </c>
      <c r="BA14" s="24">
        <v>104215697.16</v>
      </c>
      <c r="BB14" s="24">
        <v>104781532.40000001</v>
      </c>
      <c r="BC14" s="24">
        <v>108061713.31999999</v>
      </c>
      <c r="BD14" s="24">
        <v>32020038.330000002</v>
      </c>
      <c r="BE14" s="24">
        <v>50169610.950000003</v>
      </c>
      <c r="BF14" s="24">
        <v>79345282.830000013</v>
      </c>
      <c r="BG14" s="24">
        <v>99678483.870000005</v>
      </c>
      <c r="BH14" s="24">
        <v>99017923.550000012</v>
      </c>
    </row>
    <row r="15" spans="1:60" x14ac:dyDescent="0.2">
      <c r="A15" s="13" t="s">
        <v>2</v>
      </c>
      <c r="B15" s="24">
        <v>45833816.698350653</v>
      </c>
      <c r="C15" s="24">
        <v>45597845.590488404</v>
      </c>
      <c r="D15" s="24">
        <v>46154665.778397053</v>
      </c>
      <c r="E15" s="24">
        <v>48161539.552135289</v>
      </c>
      <c r="F15" s="24">
        <v>53036967.667087927</v>
      </c>
      <c r="G15" s="24">
        <v>56370644.56968978</v>
      </c>
      <c r="H15" s="24">
        <v>64851670.002759337</v>
      </c>
      <c r="I15" s="24">
        <v>70424142.588614807</v>
      </c>
      <c r="J15" s="24">
        <v>79052980.14961347</v>
      </c>
      <c r="K15" s="24">
        <v>89642029.736705288</v>
      </c>
      <c r="L15" s="24">
        <v>99879251.688753992</v>
      </c>
      <c r="M15" s="24">
        <v>106152668.84872028</v>
      </c>
      <c r="N15" s="24">
        <v>115445301.90241128</v>
      </c>
      <c r="O15" s="24">
        <v>126321806.7647727</v>
      </c>
      <c r="P15" s="24">
        <v>155609180.47981805</v>
      </c>
      <c r="Q15" s="24">
        <v>185317707.10580117</v>
      </c>
      <c r="R15" s="24">
        <v>211833659.21851587</v>
      </c>
      <c r="S15" s="24">
        <v>224319401.88152578</v>
      </c>
      <c r="T15" s="24">
        <v>232038633.93484637</v>
      </c>
      <c r="U15" s="24">
        <v>227016984.04011235</v>
      </c>
      <c r="V15" s="24">
        <v>220322635.93461764</v>
      </c>
      <c r="W15" s="24">
        <v>198446247.483051</v>
      </c>
      <c r="X15" s="24">
        <v>197990280.34066635</v>
      </c>
      <c r="Y15" s="24">
        <v>202000756.81089106</v>
      </c>
      <c r="Z15" s="24">
        <v>206272959.7661258</v>
      </c>
      <c r="AA15" s="24">
        <v>214409243.16963902</v>
      </c>
      <c r="AB15" s="24">
        <v>223363550.36986873</v>
      </c>
      <c r="AC15" s="24">
        <v>242872398.7081202</v>
      </c>
      <c r="AD15" s="24">
        <v>234811513.61748949</v>
      </c>
      <c r="AE15" s="24">
        <v>234816294.69751164</v>
      </c>
      <c r="AF15" s="24">
        <v>246932616.45668224</v>
      </c>
      <c r="AG15" s="24">
        <v>261301230.63999999</v>
      </c>
      <c r="AH15" s="24">
        <v>281902709.24000001</v>
      </c>
      <c r="AI15" s="24">
        <v>267830792.56999999</v>
      </c>
      <c r="AJ15" s="24">
        <v>295470034.46999997</v>
      </c>
      <c r="AK15" s="24">
        <v>326230543.44999999</v>
      </c>
      <c r="AL15" s="24">
        <v>330292125.31999999</v>
      </c>
      <c r="AM15" s="24">
        <v>328865266.74000001</v>
      </c>
      <c r="AN15" s="24">
        <v>361234171.08999997</v>
      </c>
      <c r="AO15" s="24">
        <v>334239716.11000001</v>
      </c>
      <c r="AP15" s="24">
        <v>351220545.29000002</v>
      </c>
      <c r="AQ15" s="24">
        <v>326588534.07000005</v>
      </c>
      <c r="AR15" s="24">
        <v>345186136.84999996</v>
      </c>
      <c r="AS15" s="24">
        <v>370845082.74000007</v>
      </c>
      <c r="AT15" s="24">
        <v>378347782.45999998</v>
      </c>
      <c r="AU15" s="24">
        <v>390696333.02999997</v>
      </c>
      <c r="AV15" s="24">
        <v>380694584.19</v>
      </c>
      <c r="AW15" s="24">
        <v>370476278.72000003</v>
      </c>
      <c r="AX15" s="24">
        <v>378165665.37999994</v>
      </c>
      <c r="AY15" s="24">
        <v>361696770.37999994</v>
      </c>
      <c r="AZ15" s="24">
        <v>373033623.08999997</v>
      </c>
      <c r="BA15" s="24">
        <v>373749691.61000001</v>
      </c>
      <c r="BB15" s="24">
        <v>355295700.70999998</v>
      </c>
      <c r="BC15" s="24">
        <v>389552595.09999996</v>
      </c>
      <c r="BD15" s="24">
        <v>119480806.53000002</v>
      </c>
      <c r="BE15" s="24">
        <v>179496661.44999999</v>
      </c>
      <c r="BF15" s="24">
        <v>287471867.77000004</v>
      </c>
      <c r="BG15" s="24">
        <v>339584846.60999995</v>
      </c>
      <c r="BH15" s="24">
        <v>334049345.72000003</v>
      </c>
    </row>
    <row r="16" spans="1:60" x14ac:dyDescent="0.2">
      <c r="A16" s="13" t="s">
        <v>75</v>
      </c>
      <c r="B16" s="24">
        <v>4602876.71295527</v>
      </c>
      <c r="C16" s="24">
        <v>4765440.1126903137</v>
      </c>
      <c r="D16" s="24">
        <v>4727473.9045394743</v>
      </c>
      <c r="E16" s="24">
        <v>4691861.2043167464</v>
      </c>
      <c r="F16" s="24">
        <v>5184835.4389083423</v>
      </c>
      <c r="G16" s="24">
        <v>5580345.3580036499</v>
      </c>
      <c r="H16" s="24">
        <v>6523392.5394499954</v>
      </c>
      <c r="I16" s="24">
        <v>7247998.7255262155</v>
      </c>
      <c r="J16" s="24">
        <v>8385247.5086019356</v>
      </c>
      <c r="K16" s="24">
        <v>9395621.0544288717</v>
      </c>
      <c r="L16" s="24">
        <v>10428290.421475798</v>
      </c>
      <c r="M16" s="24">
        <v>10692439.90078618</v>
      </c>
      <c r="N16" s="24">
        <v>12605740.925091125</v>
      </c>
      <c r="O16" s="24">
        <v>13485502.555807775</v>
      </c>
      <c r="P16" s="24">
        <v>16760245.412427949</v>
      </c>
      <c r="Q16" s="24">
        <v>20641698.160092808</v>
      </c>
      <c r="R16" s="24">
        <v>24626855.113978509</v>
      </c>
      <c r="S16" s="24">
        <v>26719978.443708964</v>
      </c>
      <c r="T16" s="24">
        <v>26707500.644097097</v>
      </c>
      <c r="U16" s="24">
        <v>26719607.077902973</v>
      </c>
      <c r="V16" s="24">
        <v>27155361.52962818</v>
      </c>
      <c r="W16" s="24">
        <v>22020168.55885724</v>
      </c>
      <c r="X16" s="24">
        <v>20908963.419259284</v>
      </c>
      <c r="Y16" s="24">
        <v>20993176.313705519</v>
      </c>
      <c r="Z16" s="24">
        <v>22197850.155701328</v>
      </c>
      <c r="AA16" s="24">
        <v>22465421.349164493</v>
      </c>
      <c r="AB16" s="24">
        <v>22010399.859999999</v>
      </c>
      <c r="AC16" s="24">
        <v>26889850.93</v>
      </c>
      <c r="AD16" s="24">
        <v>24762219.990000002</v>
      </c>
      <c r="AE16" s="24">
        <v>27018414.66</v>
      </c>
      <c r="AF16" s="24">
        <v>28772515.560000002</v>
      </c>
      <c r="AG16" s="24">
        <v>30935132.079999998</v>
      </c>
      <c r="AH16" s="24">
        <v>37910608.789999999</v>
      </c>
      <c r="AI16" s="24">
        <v>32630797.25</v>
      </c>
      <c r="AJ16" s="24">
        <v>36199803.929999992</v>
      </c>
      <c r="AK16" s="24">
        <v>41246938.359999999</v>
      </c>
      <c r="AL16" s="24">
        <v>41785897.240000002</v>
      </c>
      <c r="AM16" s="24">
        <v>38656144.519999996</v>
      </c>
      <c r="AN16" s="24">
        <v>47434556.680000007</v>
      </c>
      <c r="AO16" s="24">
        <v>41944678.939999998</v>
      </c>
      <c r="AP16" s="24">
        <v>48244195.200000003</v>
      </c>
      <c r="AQ16" s="24">
        <v>44161554.460000001</v>
      </c>
      <c r="AR16" s="24">
        <v>47352564.429999992</v>
      </c>
      <c r="AS16" s="24">
        <v>48694153.950000003</v>
      </c>
      <c r="AT16" s="24">
        <v>51616746.370000005</v>
      </c>
      <c r="AU16" s="24">
        <v>56740895.25</v>
      </c>
      <c r="AV16" s="24">
        <v>52911417.549999997</v>
      </c>
      <c r="AW16" s="24">
        <v>49198656.289999999</v>
      </c>
      <c r="AX16" s="24">
        <v>55629508.939999998</v>
      </c>
      <c r="AY16" s="24">
        <v>56528479.609999999</v>
      </c>
      <c r="AZ16" s="24">
        <v>57799863.18</v>
      </c>
      <c r="BA16" s="24">
        <v>57809960.769999996</v>
      </c>
      <c r="BB16" s="24">
        <v>56980109.210000001</v>
      </c>
      <c r="BC16" s="24">
        <v>60994452.460000001</v>
      </c>
      <c r="BD16" s="24">
        <v>18539301.16</v>
      </c>
      <c r="BE16" s="24">
        <v>29497993.169999998</v>
      </c>
      <c r="BF16" s="24">
        <v>46066588.620000005</v>
      </c>
      <c r="BG16" s="24">
        <v>58249380.420000002</v>
      </c>
      <c r="BH16" s="24">
        <v>59042651.25</v>
      </c>
    </row>
    <row r="17" spans="1:60" x14ac:dyDescent="0.2">
      <c r="A17" s="13" t="s">
        <v>79</v>
      </c>
      <c r="B17" s="24">
        <v>7534869.8161617294</v>
      </c>
      <c r="C17" s="24">
        <v>7460953.9954600688</v>
      </c>
      <c r="D17" s="24">
        <v>7467035.644104721</v>
      </c>
      <c r="E17" s="24">
        <v>7574401.5232705809</v>
      </c>
      <c r="F17" s="24">
        <v>8258863.0047396393</v>
      </c>
      <c r="G17" s="24">
        <v>8626122.2915526479</v>
      </c>
      <c r="H17" s="24">
        <v>9955293.1061029918</v>
      </c>
      <c r="I17" s="24">
        <v>11185155.12449749</v>
      </c>
      <c r="J17" s="24">
        <v>13310819.76410039</v>
      </c>
      <c r="K17" s="24">
        <v>15600729.163649447</v>
      </c>
      <c r="L17" s="24">
        <v>17463716.066754378</v>
      </c>
      <c r="M17" s="24">
        <v>18179025.301963389</v>
      </c>
      <c r="N17" s="24">
        <v>21395365.092528932</v>
      </c>
      <c r="O17" s="24">
        <v>24172244.674574703</v>
      </c>
      <c r="P17" s="24">
        <v>29267338.560301971</v>
      </c>
      <c r="Q17" s="24">
        <v>37062516.902784787</v>
      </c>
      <c r="R17" s="24">
        <v>44848667.976711892</v>
      </c>
      <c r="S17" s="24">
        <v>49345035.26908014</v>
      </c>
      <c r="T17" s="24">
        <v>49894043.664447524</v>
      </c>
      <c r="U17" s="24">
        <v>48154624.464713387</v>
      </c>
      <c r="V17" s="24">
        <v>50384181.525388137</v>
      </c>
      <c r="W17" s="24">
        <v>40586808.424539015</v>
      </c>
      <c r="X17" s="24">
        <v>37605748.585613266</v>
      </c>
      <c r="Y17" s="24">
        <v>36724954.725529656</v>
      </c>
      <c r="Z17" s="24">
        <v>38613088.369368196</v>
      </c>
      <c r="AA17" s="24">
        <v>39170659.816366039</v>
      </c>
      <c r="AB17" s="24">
        <v>39637546.490000002</v>
      </c>
      <c r="AC17" s="24">
        <v>46302723.25</v>
      </c>
      <c r="AD17" s="24">
        <v>43204952.099999994</v>
      </c>
      <c r="AE17" s="24">
        <v>46977426.849999994</v>
      </c>
      <c r="AF17" s="24">
        <v>48927770.270000003</v>
      </c>
      <c r="AG17" s="24">
        <v>54271575.659999996</v>
      </c>
      <c r="AH17" s="24">
        <v>66094828.530000009</v>
      </c>
      <c r="AI17" s="24">
        <v>58009565.620000005</v>
      </c>
      <c r="AJ17" s="24">
        <v>61415700.340000004</v>
      </c>
      <c r="AK17" s="24">
        <v>69777992.420000002</v>
      </c>
      <c r="AL17" s="24">
        <v>71029507.769999996</v>
      </c>
      <c r="AM17" s="24">
        <v>68531920.840000004</v>
      </c>
      <c r="AN17" s="24">
        <v>80536278.830000013</v>
      </c>
      <c r="AO17" s="24">
        <v>71496185.25</v>
      </c>
      <c r="AP17" s="24">
        <v>80541410.469999999</v>
      </c>
      <c r="AQ17" s="24">
        <v>77126103.75999999</v>
      </c>
      <c r="AR17" s="24">
        <v>82204383.000000015</v>
      </c>
      <c r="AS17" s="24">
        <v>91858377.019999996</v>
      </c>
      <c r="AT17" s="24">
        <v>99061625.249999985</v>
      </c>
      <c r="AU17" s="24">
        <v>105231767.72000001</v>
      </c>
      <c r="AV17" s="24">
        <v>97803342.019999981</v>
      </c>
      <c r="AW17" s="24">
        <v>93093777.810000002</v>
      </c>
      <c r="AX17" s="24">
        <v>100974192.16000001</v>
      </c>
      <c r="AY17" s="24">
        <v>104406017.85000001</v>
      </c>
      <c r="AZ17" s="24">
        <v>110119127.86</v>
      </c>
      <c r="BA17" s="24">
        <v>111725278.33</v>
      </c>
      <c r="BB17" s="24">
        <v>107906426.99000001</v>
      </c>
      <c r="BC17" s="24">
        <v>116253627.98999999</v>
      </c>
      <c r="BD17" s="24">
        <v>34822906.259999998</v>
      </c>
      <c r="BE17" s="24">
        <v>55740767.859999999</v>
      </c>
      <c r="BF17" s="24">
        <v>90546481.38000001</v>
      </c>
      <c r="BG17" s="24">
        <v>110751748.41</v>
      </c>
      <c r="BH17" s="24">
        <v>115040561.32999998</v>
      </c>
    </row>
    <row r="18" spans="1:60" x14ac:dyDescent="0.2">
      <c r="A18" s="13" t="s">
        <v>80</v>
      </c>
      <c r="B18" s="24">
        <v>7136548.5847395472</v>
      </c>
      <c r="C18" s="24">
        <v>7061387.5604650918</v>
      </c>
      <c r="D18" s="24">
        <v>7191723.5428541806</v>
      </c>
      <c r="E18" s="24">
        <v>7428609.4972688761</v>
      </c>
      <c r="F18" s="24">
        <v>7938951.943496298</v>
      </c>
      <c r="G18" s="24">
        <v>8294923.9050730467</v>
      </c>
      <c r="H18" s="24">
        <v>9733768.2195631713</v>
      </c>
      <c r="I18" s="24">
        <v>10885508.196421411</v>
      </c>
      <c r="J18" s="24">
        <v>12815523.121180199</v>
      </c>
      <c r="K18" s="24">
        <v>15456224.874496348</v>
      </c>
      <c r="L18" s="24">
        <v>17297726.832703974</v>
      </c>
      <c r="M18" s="24">
        <v>16855721.335392412</v>
      </c>
      <c r="N18" s="24">
        <v>21851057.157710034</v>
      </c>
      <c r="O18" s="24">
        <v>24004872.270590909</v>
      </c>
      <c r="P18" s="24">
        <v>29457617.191370774</v>
      </c>
      <c r="Q18" s="24">
        <v>37044423.796071999</v>
      </c>
      <c r="R18" s="24">
        <v>45928634.651356719</v>
      </c>
      <c r="S18" s="24">
        <v>48822885.189120628</v>
      </c>
      <c r="T18" s="24">
        <v>49929720.545706496</v>
      </c>
      <c r="U18" s="24">
        <v>48112510.576150566</v>
      </c>
      <c r="V18" s="24">
        <v>49604871.429692008</v>
      </c>
      <c r="W18" s="24">
        <v>40808463.489333779</v>
      </c>
      <c r="X18" s="24">
        <v>38221299.661036789</v>
      </c>
      <c r="Y18" s="24">
        <v>38550418.167734727</v>
      </c>
      <c r="Z18" s="24">
        <v>40876401.70450899</v>
      </c>
      <c r="AA18" s="24">
        <v>40814951.333332941</v>
      </c>
      <c r="AB18" s="24">
        <v>41067507.050000004</v>
      </c>
      <c r="AC18" s="24">
        <v>48603029.630000003</v>
      </c>
      <c r="AD18" s="24">
        <v>45924057.560000002</v>
      </c>
      <c r="AE18" s="24">
        <v>49387576.830000006</v>
      </c>
      <c r="AF18" s="24">
        <v>50563365.43</v>
      </c>
      <c r="AG18" s="24">
        <v>56401387.739999995</v>
      </c>
      <c r="AH18" s="24">
        <v>67820543.209999993</v>
      </c>
      <c r="AI18" s="24">
        <v>60691147.139999993</v>
      </c>
      <c r="AJ18" s="24">
        <v>63671350.310000002</v>
      </c>
      <c r="AK18" s="24">
        <v>72738299.649999991</v>
      </c>
      <c r="AL18" s="24">
        <v>75412812.230000004</v>
      </c>
      <c r="AM18" s="24">
        <v>72547131.400000006</v>
      </c>
      <c r="AN18" s="24">
        <v>85140556.429999977</v>
      </c>
      <c r="AO18" s="24">
        <v>77672534.519999996</v>
      </c>
      <c r="AP18" s="24">
        <v>82774701.570000008</v>
      </c>
      <c r="AQ18" s="24">
        <v>80940714.289999992</v>
      </c>
      <c r="AR18" s="24">
        <v>86998412.980000004</v>
      </c>
      <c r="AS18" s="24">
        <v>97123864.589999989</v>
      </c>
      <c r="AT18" s="24">
        <v>105086984.61000001</v>
      </c>
      <c r="AU18" s="24">
        <v>109934313.89999999</v>
      </c>
      <c r="AV18" s="24">
        <v>103112194.69999999</v>
      </c>
      <c r="AW18" s="24">
        <v>99807732.550000012</v>
      </c>
      <c r="AX18" s="24">
        <v>107693449.80999999</v>
      </c>
      <c r="AY18" s="24">
        <v>108954930.11</v>
      </c>
      <c r="AZ18" s="24">
        <v>114683263.55</v>
      </c>
      <c r="BA18" s="24">
        <v>113960360.8</v>
      </c>
      <c r="BB18" s="24">
        <v>111537200.05999999</v>
      </c>
      <c r="BC18" s="24">
        <v>119736825.44999999</v>
      </c>
      <c r="BD18" s="24">
        <v>34712057.950000003</v>
      </c>
      <c r="BE18" s="24">
        <v>54970617.680000007</v>
      </c>
      <c r="BF18" s="24">
        <v>93477762.340000018</v>
      </c>
      <c r="BG18" s="24">
        <v>112700525.69</v>
      </c>
      <c r="BH18" s="24">
        <v>116431754.28999999</v>
      </c>
    </row>
    <row r="19" spans="1:60" x14ac:dyDescent="0.2">
      <c r="A19" s="13" t="s">
        <v>3</v>
      </c>
      <c r="B19" s="24">
        <v>4206852.1259777695</v>
      </c>
      <c r="C19" s="24">
        <v>4293515.8859498417</v>
      </c>
      <c r="D19" s="24">
        <v>4314628.2454490149</v>
      </c>
      <c r="E19" s="24">
        <v>4393308.7077354155</v>
      </c>
      <c r="F19" s="24">
        <v>4658642.4110116977</v>
      </c>
      <c r="G19" s="24">
        <v>4727618.1213097814</v>
      </c>
      <c r="H19" s="24">
        <v>5535362.9887324935</v>
      </c>
      <c r="I19" s="24">
        <v>3741973.4830179419</v>
      </c>
      <c r="J19" s="24">
        <v>6793208.396282074</v>
      </c>
      <c r="K19" s="24">
        <v>7970344.8549218923</v>
      </c>
      <c r="L19" s="24">
        <v>9586228.5180278588</v>
      </c>
      <c r="M19" s="24">
        <v>10293789.074588731</v>
      </c>
      <c r="N19" s="24">
        <v>12215833.050032241</v>
      </c>
      <c r="O19" s="24">
        <v>13668908.022934431</v>
      </c>
      <c r="P19" s="24">
        <v>16776416.289482389</v>
      </c>
      <c r="Q19" s="24">
        <v>21162171.605760746</v>
      </c>
      <c r="R19" s="24">
        <v>25736848.147058424</v>
      </c>
      <c r="S19" s="24">
        <v>27629702.861620501</v>
      </c>
      <c r="T19" s="24">
        <v>27480949.208560929</v>
      </c>
      <c r="U19" s="24">
        <v>27027792.827883534</v>
      </c>
      <c r="V19" s="24">
        <v>28350505.068087243</v>
      </c>
      <c r="W19" s="24">
        <v>23934190.792916324</v>
      </c>
      <c r="X19" s="24">
        <v>22865441.793503925</v>
      </c>
      <c r="Y19" s="24">
        <v>23047079.870481342</v>
      </c>
      <c r="Z19" s="24">
        <v>23622503.033633742</v>
      </c>
      <c r="AA19" s="24">
        <v>24016887.744330145</v>
      </c>
      <c r="AB19" s="24">
        <v>23138222.169999998</v>
      </c>
      <c r="AC19" s="24">
        <v>27190794.41</v>
      </c>
      <c r="AD19" s="24">
        <v>24908500.270000003</v>
      </c>
      <c r="AE19" s="24">
        <v>27974466.07</v>
      </c>
      <c r="AF19" s="24">
        <v>31022895.809999999</v>
      </c>
      <c r="AG19" s="24">
        <v>33873397.020000003</v>
      </c>
      <c r="AH19" s="24">
        <v>41503197.900000006</v>
      </c>
      <c r="AI19" s="24">
        <v>36247070.740000002</v>
      </c>
      <c r="AJ19" s="24">
        <v>38248269.640000001</v>
      </c>
      <c r="AK19" s="24">
        <v>46535882.529999994</v>
      </c>
      <c r="AL19" s="24">
        <v>47099756.390000001</v>
      </c>
      <c r="AM19" s="24">
        <v>45740909.82</v>
      </c>
      <c r="AN19" s="24">
        <v>54741314.769999996</v>
      </c>
      <c r="AO19" s="24">
        <v>48548969.090000004</v>
      </c>
      <c r="AP19" s="24">
        <v>54331283.410000004</v>
      </c>
      <c r="AQ19" s="24">
        <v>51983612.68999999</v>
      </c>
      <c r="AR19" s="24">
        <v>55915062.439999998</v>
      </c>
      <c r="AS19" s="24">
        <v>59315502.589999996</v>
      </c>
      <c r="AT19" s="24">
        <v>64867740.270000011</v>
      </c>
      <c r="AU19" s="24">
        <v>69464665.800000012</v>
      </c>
      <c r="AV19" s="24">
        <v>64875813.950000003</v>
      </c>
      <c r="AW19" s="24">
        <v>61352429.93</v>
      </c>
      <c r="AX19" s="24">
        <v>67696926.140000001</v>
      </c>
      <c r="AY19" s="24">
        <v>69658010.049999997</v>
      </c>
      <c r="AZ19" s="24">
        <v>71754603.480000004</v>
      </c>
      <c r="BA19" s="24">
        <v>71586459.019999996</v>
      </c>
      <c r="BB19" s="24">
        <v>69546316.140000001</v>
      </c>
      <c r="BC19" s="24">
        <v>76263339.489999995</v>
      </c>
      <c r="BD19" s="24">
        <v>23853065.219999999</v>
      </c>
      <c r="BE19" s="24">
        <v>36908031.150000006</v>
      </c>
      <c r="BF19" s="24">
        <v>60021828.79999999</v>
      </c>
      <c r="BG19" s="24">
        <v>73628208.939999998</v>
      </c>
      <c r="BH19" s="24">
        <v>78496806.389999986</v>
      </c>
    </row>
    <row r="20" spans="1:60" x14ac:dyDescent="0.2">
      <c r="A20" s="13" t="s">
        <v>4</v>
      </c>
      <c r="B20" s="24">
        <v>11865533.716386897</v>
      </c>
      <c r="C20" s="24">
        <v>11630785.097193871</v>
      </c>
      <c r="D20" s="24">
        <v>11486838.009198776</v>
      </c>
      <c r="E20" s="24">
        <v>11845664.426174279</v>
      </c>
      <c r="F20" s="24">
        <v>12736560.933109945</v>
      </c>
      <c r="G20" s="24">
        <v>13340268.798107192</v>
      </c>
      <c r="H20" s="24">
        <v>15668441.986288734</v>
      </c>
      <c r="I20" s="24">
        <v>16603679.357031025</v>
      </c>
      <c r="J20" s="24">
        <v>19261679.65278212</v>
      </c>
      <c r="K20" s="24">
        <v>23245048.684593655</v>
      </c>
      <c r="L20" s="24">
        <v>25979696.534986287</v>
      </c>
      <c r="M20" s="24">
        <v>26876206.672083691</v>
      </c>
      <c r="N20" s="24">
        <v>31016520.137752935</v>
      </c>
      <c r="O20" s="24">
        <v>33254286.180344138</v>
      </c>
      <c r="P20" s="24">
        <v>41007701.11455477</v>
      </c>
      <c r="Q20" s="24">
        <v>49479653.239465401</v>
      </c>
      <c r="R20" s="24">
        <v>58600268.15782132</v>
      </c>
      <c r="S20" s="24">
        <v>60453173.45496732</v>
      </c>
      <c r="T20" s="24">
        <v>60924789.277345926</v>
      </c>
      <c r="U20" s="24">
        <v>58948404.392361082</v>
      </c>
      <c r="V20" s="24">
        <v>61724277.346160255</v>
      </c>
      <c r="W20" s="24">
        <v>51899346.925492398</v>
      </c>
      <c r="X20" s="24">
        <v>48344041.655747399</v>
      </c>
      <c r="Y20" s="24">
        <v>49293475.365291156</v>
      </c>
      <c r="Z20" s="24">
        <v>52091013.896686867</v>
      </c>
      <c r="AA20" s="24">
        <v>51113084.330933057</v>
      </c>
      <c r="AB20" s="24">
        <v>52428446.780000001</v>
      </c>
      <c r="AC20" s="24">
        <v>60159445.36999999</v>
      </c>
      <c r="AD20" s="24">
        <v>58295429.700000003</v>
      </c>
      <c r="AE20" s="24">
        <v>65059023.420000002</v>
      </c>
      <c r="AF20" s="24">
        <v>64595703</v>
      </c>
      <c r="AG20" s="24">
        <v>71843473.479999989</v>
      </c>
      <c r="AH20" s="24">
        <v>85097148.870000005</v>
      </c>
      <c r="AI20" s="24">
        <v>74458010.120000005</v>
      </c>
      <c r="AJ20" s="24">
        <v>80390618.950000018</v>
      </c>
      <c r="AK20" s="24">
        <v>90218387.560000002</v>
      </c>
      <c r="AL20" s="24">
        <v>91008840.260000005</v>
      </c>
      <c r="AM20" s="24">
        <v>87927522.530000001</v>
      </c>
      <c r="AN20" s="24">
        <v>99484816.210000008</v>
      </c>
      <c r="AO20" s="24">
        <v>89276316.829999998</v>
      </c>
      <c r="AP20" s="24">
        <v>94178650.909999996</v>
      </c>
      <c r="AQ20" s="24">
        <v>89757377.019999996</v>
      </c>
      <c r="AR20" s="24">
        <v>96215905.800000012</v>
      </c>
      <c r="AS20" s="24">
        <v>106245043.27000001</v>
      </c>
      <c r="AT20" s="24">
        <v>119625296.41</v>
      </c>
      <c r="AU20" s="24">
        <v>121417747.18000001</v>
      </c>
      <c r="AV20" s="24">
        <v>115474496.19</v>
      </c>
      <c r="AW20" s="24">
        <v>109045104.27000001</v>
      </c>
      <c r="AX20" s="24">
        <v>116946564.72999999</v>
      </c>
      <c r="AY20" s="24">
        <v>115476187.09999999</v>
      </c>
      <c r="AZ20" s="24">
        <v>124594011.06</v>
      </c>
      <c r="BA20" s="24">
        <v>122230709.32999998</v>
      </c>
      <c r="BB20" s="24">
        <v>122433453.59</v>
      </c>
      <c r="BC20" s="24">
        <v>132944778.63</v>
      </c>
      <c r="BD20" s="24">
        <v>36423933.660000004</v>
      </c>
      <c r="BE20" s="24">
        <v>59515172.119999997</v>
      </c>
      <c r="BF20" s="24">
        <v>103324156.25</v>
      </c>
      <c r="BG20" s="24">
        <v>123779780.91</v>
      </c>
      <c r="BH20" s="24">
        <v>124602643.86</v>
      </c>
    </row>
    <row r="21" spans="1:60" s="2" customFormat="1" x14ac:dyDescent="0.2">
      <c r="A21" s="9" t="s">
        <v>0</v>
      </c>
      <c r="B21" s="25">
        <v>119695074.37225305</v>
      </c>
      <c r="C21" s="25">
        <v>119630307.47442286</v>
      </c>
      <c r="D21" s="25">
        <v>119494231.0242897</v>
      </c>
      <c r="E21" s="25">
        <v>122936059.0709452</v>
      </c>
      <c r="F21" s="25">
        <v>134471652.41014275</v>
      </c>
      <c r="G21" s="25">
        <v>142214803.71426785</v>
      </c>
      <c r="H21" s="25">
        <v>164372874.13656688</v>
      </c>
      <c r="I21" s="25">
        <v>179094306.94390032</v>
      </c>
      <c r="J21" s="25">
        <v>207205366.96765187</v>
      </c>
      <c r="K21" s="25">
        <v>239762711.12283269</v>
      </c>
      <c r="L21" s="25">
        <v>267783954.74093577</v>
      </c>
      <c r="M21" s="25">
        <v>280295640.87280113</v>
      </c>
      <c r="N21" s="25">
        <v>321795300.60659468</v>
      </c>
      <c r="O21" s="25">
        <v>351990856.1079461</v>
      </c>
      <c r="P21" s="25">
        <v>430721872.01295209</v>
      </c>
      <c r="Q21" s="25">
        <v>529318180.91734678</v>
      </c>
      <c r="R21" s="25">
        <v>630711848.94741571</v>
      </c>
      <c r="S21" s="25">
        <v>671339616.77366066</v>
      </c>
      <c r="T21" s="25">
        <v>682605169.54617453</v>
      </c>
      <c r="U21" s="25">
        <v>665928313.28882825</v>
      </c>
      <c r="V21" s="25">
        <v>675745513.64785182</v>
      </c>
      <c r="W21" s="25">
        <v>577476877.0328095</v>
      </c>
      <c r="X21" s="25">
        <v>553725320.20207286</v>
      </c>
      <c r="Y21" s="25">
        <v>560829444.51611233</v>
      </c>
      <c r="Z21" s="25">
        <v>583287654.52613497</v>
      </c>
      <c r="AA21" s="25">
        <v>591688327.13119924</v>
      </c>
      <c r="AB21" s="25">
        <v>600823681.99986875</v>
      </c>
      <c r="AC21" s="25">
        <v>688920310.35812008</v>
      </c>
      <c r="AD21" s="25">
        <v>653519170.91748953</v>
      </c>
      <c r="AE21" s="25">
        <v>690126525.09751165</v>
      </c>
      <c r="AF21" s="25">
        <v>725978370.7166822</v>
      </c>
      <c r="AG21" s="25">
        <v>790171071.23000002</v>
      </c>
      <c r="AH21" s="25">
        <v>917026015.23000002</v>
      </c>
      <c r="AI21" s="25">
        <v>823965938.75999987</v>
      </c>
      <c r="AJ21" s="25">
        <v>893951145.38</v>
      </c>
      <c r="AK21" s="25">
        <v>1021007439.47</v>
      </c>
      <c r="AL21" s="25">
        <v>1030008866.4399999</v>
      </c>
      <c r="AM21" s="25">
        <v>996106316.67000008</v>
      </c>
      <c r="AN21" s="25">
        <v>1139839552.3700001</v>
      </c>
      <c r="AO21" s="25">
        <v>1031801871.05</v>
      </c>
      <c r="AP21" s="25">
        <v>1120649313.3000002</v>
      </c>
      <c r="AQ21" s="25">
        <v>1061869248.4999999</v>
      </c>
      <c r="AR21" s="25">
        <v>1142893230.5399997</v>
      </c>
      <c r="AS21" s="25">
        <v>1237235680.1400001</v>
      </c>
      <c r="AT21" s="25">
        <v>1309943916.46</v>
      </c>
      <c r="AU21" s="25">
        <v>1374735611.3900001</v>
      </c>
      <c r="AV21" s="25">
        <v>1306478863.5</v>
      </c>
      <c r="AW21" s="25">
        <v>1250873538.98</v>
      </c>
      <c r="AX21" s="25">
        <v>1333309408.9300001</v>
      </c>
      <c r="AY21" s="25">
        <v>1331651208.0399997</v>
      </c>
      <c r="AZ21" s="25">
        <v>1388446936.4399998</v>
      </c>
      <c r="BA21" s="25">
        <v>1380599273.1199999</v>
      </c>
      <c r="BB21" s="25">
        <v>1336891139.9200001</v>
      </c>
      <c r="BC21" s="25">
        <v>1448657603.98</v>
      </c>
      <c r="BD21" s="25">
        <v>432778240.37000006</v>
      </c>
      <c r="BE21" s="25">
        <v>672572394.77999997</v>
      </c>
      <c r="BF21" s="25">
        <v>1094654384.73</v>
      </c>
      <c r="BG21" s="25">
        <v>1334026844.74</v>
      </c>
      <c r="BH21" s="25">
        <v>1347807439.5899999</v>
      </c>
    </row>
  </sheetData>
  <phoneticPr fontId="1" type="noConversion"/>
  <hyperlinks>
    <hyperlink ref="A2" location="Sommaire!A1" display="Retour au menu &quot;Exploitation des films&quot;" xr:uid="{00000000-0004-0000-0900-000000000000}"/>
  </hyperlinks>
  <pageMargins left="0.78740157499999996" right="0.78740157499999996" top="0.984251969" bottom="0.984251969" header="0.4921259845" footer="0.492125984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dimension ref="A1:BH21"/>
  <sheetViews>
    <sheetView workbookViewId="0">
      <pane xSplit="1" ySplit="7" topLeftCell="B8" activePane="bottomRight" state="frozen"/>
      <selection pane="topRight"/>
      <selection pane="bottomLeft"/>
      <selection pane="bottomRight" activeCell="B8" sqref="B8"/>
    </sheetView>
  </sheetViews>
  <sheetFormatPr baseColWidth="10" defaultColWidth="5.5703125" defaultRowHeight="12" x14ac:dyDescent="0.2"/>
  <cols>
    <col min="1" max="1" width="40.28515625" style="1" bestFit="1" customWidth="1"/>
    <col min="2" max="38" width="5" style="1" bestFit="1" customWidth="1"/>
    <col min="39" max="51" width="5" style="4" bestFit="1" customWidth="1"/>
    <col min="52" max="55" width="5" style="1" bestFit="1" customWidth="1"/>
    <col min="56"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c r="BF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c r="BF2" s="39"/>
    </row>
    <row r="3" spans="1:60" s="36" customFormat="1" ht="12.75" x14ac:dyDescent="0.2">
      <c r="AM3" s="37"/>
      <c r="AN3" s="37"/>
      <c r="AO3" s="37"/>
      <c r="AP3" s="37"/>
      <c r="AQ3" s="37"/>
      <c r="AR3" s="37"/>
      <c r="AS3" s="37"/>
      <c r="AT3" s="37"/>
      <c r="AU3" s="37"/>
      <c r="AV3" s="37"/>
      <c r="AW3" s="37"/>
      <c r="AX3" s="37"/>
      <c r="AY3" s="37"/>
      <c r="AZ3" s="37"/>
      <c r="BA3" s="37"/>
      <c r="BB3" s="37"/>
      <c r="BC3" s="37"/>
      <c r="BD3" s="37"/>
      <c r="BE3" s="37"/>
      <c r="BF3" s="37"/>
    </row>
    <row r="4" spans="1:60" s="36" customFormat="1" ht="12.75" x14ac:dyDescent="0.2">
      <c r="AM4" s="37"/>
      <c r="AN4" s="37"/>
      <c r="AO4" s="37"/>
      <c r="AP4" s="37"/>
      <c r="AQ4" s="37"/>
      <c r="AR4" s="37"/>
      <c r="AS4" s="37"/>
      <c r="AT4" s="37"/>
      <c r="AU4" s="37"/>
      <c r="AV4" s="37"/>
      <c r="AW4" s="37"/>
      <c r="AX4" s="37"/>
      <c r="AY4" s="37"/>
      <c r="AZ4" s="37"/>
      <c r="BA4" s="37"/>
      <c r="BB4" s="37"/>
      <c r="BC4" s="37"/>
      <c r="BD4" s="37"/>
      <c r="BE4" s="37"/>
      <c r="BF4" s="37"/>
    </row>
    <row r="5" spans="1:60" ht="12.75" x14ac:dyDescent="0.2">
      <c r="A5" s="3" t="s">
        <v>9</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5"/>
      <c r="B7" s="6">
        <v>1966</v>
      </c>
      <c r="C7" s="6">
        <v>1967</v>
      </c>
      <c r="D7" s="6">
        <v>1968</v>
      </c>
      <c r="E7" s="6">
        <v>1969</v>
      </c>
      <c r="F7" s="6">
        <v>1970</v>
      </c>
      <c r="G7" s="6">
        <v>1971</v>
      </c>
      <c r="H7" s="6">
        <v>1972</v>
      </c>
      <c r="I7" s="6">
        <v>1973</v>
      </c>
      <c r="J7" s="6">
        <v>1974</v>
      </c>
      <c r="K7" s="6">
        <v>1975</v>
      </c>
      <c r="L7" s="6">
        <v>1976</v>
      </c>
      <c r="M7" s="6">
        <v>1977</v>
      </c>
      <c r="N7" s="6">
        <v>1978</v>
      </c>
      <c r="O7" s="6">
        <v>1979</v>
      </c>
      <c r="P7" s="6">
        <v>1980</v>
      </c>
      <c r="Q7" s="6">
        <v>1981</v>
      </c>
      <c r="R7" s="6">
        <v>1982</v>
      </c>
      <c r="S7" s="6">
        <v>1983</v>
      </c>
      <c r="T7" s="6">
        <v>1984</v>
      </c>
      <c r="U7" s="6">
        <v>1985</v>
      </c>
      <c r="V7" s="6">
        <v>1986</v>
      </c>
      <c r="W7" s="6">
        <v>1987</v>
      </c>
      <c r="X7" s="6">
        <v>1988</v>
      </c>
      <c r="Y7" s="6">
        <v>1989</v>
      </c>
      <c r="Z7" s="6">
        <v>1990</v>
      </c>
      <c r="AA7" s="6">
        <v>1991</v>
      </c>
      <c r="AB7" s="6">
        <v>1992</v>
      </c>
      <c r="AC7" s="6">
        <v>1993</v>
      </c>
      <c r="AD7" s="6">
        <v>1994</v>
      </c>
      <c r="AE7" s="6">
        <v>1995</v>
      </c>
      <c r="AF7" s="6">
        <v>1996</v>
      </c>
      <c r="AG7" s="6">
        <v>1997</v>
      </c>
      <c r="AH7" s="6">
        <v>1998</v>
      </c>
      <c r="AI7" s="6">
        <v>1999</v>
      </c>
      <c r="AJ7" s="6">
        <v>2000</v>
      </c>
      <c r="AK7" s="6">
        <v>2001</v>
      </c>
      <c r="AL7" s="6">
        <v>2002</v>
      </c>
      <c r="AM7" s="6">
        <v>2003</v>
      </c>
      <c r="AN7" s="6">
        <v>2004</v>
      </c>
      <c r="AO7" s="6">
        <v>2005</v>
      </c>
      <c r="AP7" s="6">
        <v>2006</v>
      </c>
      <c r="AQ7" s="6">
        <v>2007</v>
      </c>
      <c r="AR7" s="6">
        <v>2008</v>
      </c>
      <c r="AS7" s="6">
        <v>2009</v>
      </c>
      <c r="AT7" s="6">
        <v>2010</v>
      </c>
      <c r="AU7" s="6">
        <v>2011</v>
      </c>
      <c r="AV7" s="6">
        <v>2012</v>
      </c>
      <c r="AW7" s="6">
        <v>2013</v>
      </c>
      <c r="AX7" s="6">
        <v>2014</v>
      </c>
      <c r="AY7" s="6">
        <v>2015</v>
      </c>
      <c r="AZ7" s="6">
        <v>2016</v>
      </c>
      <c r="BA7" s="6">
        <v>2017</v>
      </c>
      <c r="BB7" s="6">
        <v>2018</v>
      </c>
      <c r="BC7" s="6">
        <v>2019</v>
      </c>
      <c r="BD7" s="6">
        <v>2020</v>
      </c>
      <c r="BE7" s="6">
        <v>2021</v>
      </c>
      <c r="BF7" s="6">
        <v>2022</v>
      </c>
      <c r="BG7" s="6">
        <v>2023</v>
      </c>
      <c r="BH7" s="6">
        <v>2024</v>
      </c>
    </row>
    <row r="8" spans="1:60" x14ac:dyDescent="0.2">
      <c r="A8" s="7" t="s">
        <v>72</v>
      </c>
      <c r="B8" s="30">
        <v>0.52165027764667304</v>
      </c>
      <c r="C8" s="30">
        <v>0.57204671982623279</v>
      </c>
      <c r="D8" s="30">
        <v>0.58974551351422255</v>
      </c>
      <c r="E8" s="30">
        <v>0.66541321081945382</v>
      </c>
      <c r="F8" s="30">
        <v>0.72306226437436361</v>
      </c>
      <c r="G8" s="30">
        <v>0.80638325822423274</v>
      </c>
      <c r="H8" s="30">
        <v>0.89092971433695056</v>
      </c>
      <c r="I8" s="30">
        <v>0.9977091701661337</v>
      </c>
      <c r="J8" s="30">
        <v>1.125671643789997</v>
      </c>
      <c r="K8" s="30">
        <v>1.2853580813511216</v>
      </c>
      <c r="L8" s="30">
        <v>1.4740396270573226</v>
      </c>
      <c r="M8" s="30">
        <v>1.6236613878540067</v>
      </c>
      <c r="N8" s="30">
        <v>1.772542007279245</v>
      </c>
      <c r="O8" s="30">
        <v>1.9504790571939816</v>
      </c>
      <c r="P8" s="30">
        <v>2.4689053880391296</v>
      </c>
      <c r="Q8" s="30">
        <v>2.7674788179099106</v>
      </c>
      <c r="R8" s="30">
        <v>3.0796148428544465</v>
      </c>
      <c r="S8" s="30">
        <v>3.2964336215769103</v>
      </c>
      <c r="T8" s="30">
        <v>3.489749927039536</v>
      </c>
      <c r="U8" s="30">
        <v>3.6984142567344067</v>
      </c>
      <c r="V8" s="30">
        <v>3.9331670306313691</v>
      </c>
      <c r="W8" s="30">
        <v>4.1321724153235504</v>
      </c>
      <c r="X8" s="30">
        <v>4.3544309389198821</v>
      </c>
      <c r="Y8" s="30">
        <v>4.5444669323255082</v>
      </c>
      <c r="Z8" s="30">
        <v>4.7139690946602499</v>
      </c>
      <c r="AA8" s="30">
        <v>4.957433978833885</v>
      </c>
      <c r="AB8" s="30">
        <v>5.0691233322474787</v>
      </c>
      <c r="AC8" s="30">
        <v>5.0345923066271183</v>
      </c>
      <c r="AD8" s="30">
        <v>5.0259175969305732</v>
      </c>
      <c r="AE8" s="30">
        <v>5.0137174886527989</v>
      </c>
      <c r="AF8" s="30">
        <v>5.0410759499056823</v>
      </c>
      <c r="AG8" s="30">
        <v>5.0652683532998015</v>
      </c>
      <c r="AH8" s="30">
        <v>5.2477390430396085</v>
      </c>
      <c r="AI8" s="30">
        <v>5.2280468939058693</v>
      </c>
      <c r="AJ8" s="30">
        <v>5.28644123766726</v>
      </c>
      <c r="AK8" s="30">
        <v>5.3845823872208323</v>
      </c>
      <c r="AL8" s="30">
        <v>5.5547912070938672</v>
      </c>
      <c r="AM8" s="30">
        <v>5.6695135222242552</v>
      </c>
      <c r="AN8" s="30">
        <v>5.7733488603975553</v>
      </c>
      <c r="AO8" s="30">
        <v>5.8677775472621043</v>
      </c>
      <c r="AP8" s="30">
        <v>5.9528157809237285</v>
      </c>
      <c r="AQ8" s="30">
        <v>5.9957114304176997</v>
      </c>
      <c r="AR8" s="30">
        <v>6.083306443400005</v>
      </c>
      <c r="AS8" s="30">
        <v>6.2405762382951675</v>
      </c>
      <c r="AT8" s="30">
        <v>6.4602969451183414</v>
      </c>
      <c r="AU8" s="30">
        <v>6.4607471194491346</v>
      </c>
      <c r="AV8" s="30">
        <v>6.5485284428145167</v>
      </c>
      <c r="AW8" s="30">
        <v>6.5692875826213548</v>
      </c>
      <c r="AX8" s="30">
        <v>6.462773258457128</v>
      </c>
      <c r="AY8" s="30">
        <v>6.546799001584378</v>
      </c>
      <c r="AZ8" s="30">
        <v>6.5629396449326398</v>
      </c>
      <c r="BA8" s="30">
        <v>6.6272666385265335</v>
      </c>
      <c r="BB8" s="30">
        <v>6.644503866759937</v>
      </c>
      <c r="BC8" s="30">
        <v>6.7797634887229634</v>
      </c>
      <c r="BD8" s="30">
        <v>6.6581959488385314</v>
      </c>
      <c r="BE8" s="30">
        <v>7.051225049659017</v>
      </c>
      <c r="BF8" s="30">
        <v>7.1933909376652618</v>
      </c>
      <c r="BG8" s="30">
        <v>7.4105676939371907</v>
      </c>
      <c r="BH8" s="30">
        <v>7.4218989518975613</v>
      </c>
    </row>
    <row r="9" spans="1:60" x14ac:dyDescent="0.2">
      <c r="A9" s="7" t="s">
        <v>73</v>
      </c>
      <c r="B9" s="30">
        <v>0.4338999150589275</v>
      </c>
      <c r="C9" s="30">
        <v>0.4862150848305945</v>
      </c>
      <c r="D9" s="30">
        <v>0.49872660973889721</v>
      </c>
      <c r="E9" s="30">
        <v>0.5613102489749543</v>
      </c>
      <c r="F9" s="30">
        <v>0.61212410600605038</v>
      </c>
      <c r="G9" s="30">
        <v>0.67570372349326635</v>
      </c>
      <c r="H9" s="30">
        <v>0.76927409105305511</v>
      </c>
      <c r="I9" s="30">
        <v>0.88603275616313204</v>
      </c>
      <c r="J9" s="30">
        <v>1.0165107345828146</v>
      </c>
      <c r="K9" s="30">
        <v>1.1986575570460571</v>
      </c>
      <c r="L9" s="30">
        <v>1.4061019847720699</v>
      </c>
      <c r="M9" s="30">
        <v>1.5411313309108974</v>
      </c>
      <c r="N9" s="30">
        <v>1.6970500873069456</v>
      </c>
      <c r="O9" s="30">
        <v>1.8603470931148627</v>
      </c>
      <c r="P9" s="30">
        <v>2.3743758774926347</v>
      </c>
      <c r="Q9" s="30">
        <v>2.6987325082806803</v>
      </c>
      <c r="R9" s="30">
        <v>3.0050848651320905</v>
      </c>
      <c r="S9" s="30">
        <v>3.2517247489584946</v>
      </c>
      <c r="T9" s="30">
        <v>3.433116171839008</v>
      </c>
      <c r="U9" s="30">
        <v>3.6492189312310135</v>
      </c>
      <c r="V9" s="30">
        <v>3.8692962019405623</v>
      </c>
      <c r="W9" s="30">
        <v>4.0547967263850948</v>
      </c>
      <c r="X9" s="30">
        <v>4.2071998087432592</v>
      </c>
      <c r="Y9" s="30">
        <v>4.3985144742483815</v>
      </c>
      <c r="Z9" s="30">
        <v>4.4997753361857598</v>
      </c>
      <c r="AA9" s="30">
        <v>4.7289192004808172</v>
      </c>
      <c r="AB9" s="30">
        <v>4.8701346602645641</v>
      </c>
      <c r="AC9" s="30">
        <v>4.851347577515841</v>
      </c>
      <c r="AD9" s="30">
        <v>4.9023998330242824</v>
      </c>
      <c r="AE9" s="30">
        <v>4.9586918236712147</v>
      </c>
      <c r="AF9" s="30">
        <v>5.0017353599978982</v>
      </c>
      <c r="AG9" s="30">
        <v>4.9670194259697258</v>
      </c>
      <c r="AH9" s="30">
        <v>5.0961211571631093</v>
      </c>
      <c r="AI9" s="30">
        <v>4.995887085174445</v>
      </c>
      <c r="AJ9" s="30">
        <v>5.0106190954279981</v>
      </c>
      <c r="AK9" s="30">
        <v>5.1088609258532118</v>
      </c>
      <c r="AL9" s="30">
        <v>5.294654228771285</v>
      </c>
      <c r="AM9" s="30">
        <v>5.4477393724879217</v>
      </c>
      <c r="AN9" s="30">
        <v>5.5455997692950625</v>
      </c>
      <c r="AO9" s="30">
        <v>5.5735827797933553</v>
      </c>
      <c r="AP9" s="30">
        <v>5.6346229286327327</v>
      </c>
      <c r="AQ9" s="30">
        <v>5.6180969301049002</v>
      </c>
      <c r="AR9" s="30">
        <v>5.7413542532116804</v>
      </c>
      <c r="AS9" s="30">
        <v>5.8032909702479678</v>
      </c>
      <c r="AT9" s="30">
        <v>6.0076114087623376</v>
      </c>
      <c r="AU9" s="30">
        <v>6.0035506708910811</v>
      </c>
      <c r="AV9" s="30">
        <v>6.082718651559099</v>
      </c>
      <c r="AW9" s="30">
        <v>6.1073766828099556</v>
      </c>
      <c r="AX9" s="30">
        <v>6.0352360161902725</v>
      </c>
      <c r="AY9" s="30">
        <v>6.161092591785108</v>
      </c>
      <c r="AZ9" s="30">
        <v>6.1950140000612652</v>
      </c>
      <c r="BA9" s="30">
        <v>6.2250724670509836</v>
      </c>
      <c r="BB9" s="30">
        <v>6.2176938601036777</v>
      </c>
      <c r="BC9" s="30">
        <v>6.3385211313052565</v>
      </c>
      <c r="BD9" s="30">
        <v>6.2210010880875588</v>
      </c>
      <c r="BE9" s="30">
        <v>6.5077653887679299</v>
      </c>
      <c r="BF9" s="30">
        <v>6.7208344426958977</v>
      </c>
      <c r="BG9" s="30">
        <v>6.9622978460619889</v>
      </c>
      <c r="BH9" s="30">
        <v>6.9798139527252641</v>
      </c>
    </row>
    <row r="10" spans="1:60" x14ac:dyDescent="0.2">
      <c r="A10" s="7" t="s">
        <v>1</v>
      </c>
      <c r="B10" s="30">
        <v>0.42795798426455239</v>
      </c>
      <c r="C10" s="30">
        <v>0.46839665016683063</v>
      </c>
      <c r="D10" s="30">
        <v>0.48992310604865746</v>
      </c>
      <c r="E10" s="30">
        <v>0.56193984616977322</v>
      </c>
      <c r="F10" s="30">
        <v>0.61776491753689877</v>
      </c>
      <c r="G10" s="30">
        <v>0.68726244557239424</v>
      </c>
      <c r="H10" s="30">
        <v>0.76875711044724604</v>
      </c>
      <c r="I10" s="30">
        <v>0.9098649837741587</v>
      </c>
      <c r="J10" s="30">
        <v>1.0534723017525662</v>
      </c>
      <c r="K10" s="30">
        <v>1.1971896337998011</v>
      </c>
      <c r="L10" s="30">
        <v>1.373501151316167</v>
      </c>
      <c r="M10" s="30">
        <v>1.5092812391303423</v>
      </c>
      <c r="N10" s="30">
        <v>1.661716945363527</v>
      </c>
      <c r="O10" s="30">
        <v>1.8728481762422173</v>
      </c>
      <c r="P10" s="30">
        <v>2.3843473483578754</v>
      </c>
      <c r="Q10" s="30">
        <v>2.6744089042181467</v>
      </c>
      <c r="R10" s="30">
        <v>2.9653360834619917</v>
      </c>
      <c r="S10" s="30">
        <v>3.2609582065925449</v>
      </c>
      <c r="T10" s="30">
        <v>3.4142203460636309</v>
      </c>
      <c r="U10" s="30">
        <v>3.6527057455868488</v>
      </c>
      <c r="V10" s="30">
        <v>3.8427256636699103</v>
      </c>
      <c r="W10" s="30">
        <v>4.0358386414953626</v>
      </c>
      <c r="X10" s="30">
        <v>4.2739884720165122</v>
      </c>
      <c r="Y10" s="30">
        <v>4.4181432281082529</v>
      </c>
      <c r="Z10" s="30">
        <v>4.502200093390937</v>
      </c>
      <c r="AA10" s="30">
        <v>4.6890371079687361</v>
      </c>
      <c r="AB10" s="30">
        <v>4.8080040254862046</v>
      </c>
      <c r="AC10" s="30">
        <v>4.8619133782444557</v>
      </c>
      <c r="AD10" s="30">
        <v>4.9434318773264501</v>
      </c>
      <c r="AE10" s="30">
        <v>5.0484305439275188</v>
      </c>
      <c r="AF10" s="30">
        <v>5.1297299684651811</v>
      </c>
      <c r="AG10" s="30">
        <v>5.1390134795175637</v>
      </c>
      <c r="AH10" s="30">
        <v>5.1889256480026829</v>
      </c>
      <c r="AI10" s="30">
        <v>5.1269401991260111</v>
      </c>
      <c r="AJ10" s="30">
        <v>5.1197659453909807</v>
      </c>
      <c r="AK10" s="30">
        <v>5.1787423501863099</v>
      </c>
      <c r="AL10" s="30">
        <v>5.2916811574043896</v>
      </c>
      <c r="AM10" s="30">
        <v>5.367889438590959</v>
      </c>
      <c r="AN10" s="30">
        <v>5.4353394798772952</v>
      </c>
      <c r="AO10" s="30">
        <v>5.4652373246972212</v>
      </c>
      <c r="AP10" s="30">
        <v>5.5246966172992202</v>
      </c>
      <c r="AQ10" s="30">
        <v>5.5995122248442302</v>
      </c>
      <c r="AR10" s="30">
        <v>5.6702069667911008</v>
      </c>
      <c r="AS10" s="30">
        <v>5.8237583008847853</v>
      </c>
      <c r="AT10" s="30">
        <v>5.9662754400582774</v>
      </c>
      <c r="AU10" s="30">
        <v>6.0047350923235623</v>
      </c>
      <c r="AV10" s="30">
        <v>6.0091725161706151</v>
      </c>
      <c r="AW10" s="30">
        <v>6.0168527450568341</v>
      </c>
      <c r="AX10" s="30">
        <v>5.9579365618935043</v>
      </c>
      <c r="AY10" s="30">
        <v>6.0704527029249489</v>
      </c>
      <c r="AZ10" s="30">
        <v>6.0750272552566118</v>
      </c>
      <c r="BA10" s="30">
        <v>6.1820009905133579</v>
      </c>
      <c r="BB10" s="30">
        <v>6.2163364846400322</v>
      </c>
      <c r="BC10" s="30">
        <v>6.3814877513032702</v>
      </c>
      <c r="BD10" s="30">
        <v>6.3151151841516295</v>
      </c>
      <c r="BE10" s="30">
        <v>6.6811383423884676</v>
      </c>
      <c r="BF10" s="30">
        <v>6.8415410516658337</v>
      </c>
      <c r="BG10" s="30">
        <v>6.9796583846804312</v>
      </c>
      <c r="BH10" s="30">
        <v>7.0232374685841448</v>
      </c>
    </row>
    <row r="11" spans="1:60" x14ac:dyDescent="0.2">
      <c r="A11" s="7" t="s">
        <v>74</v>
      </c>
      <c r="B11" s="30">
        <v>0.45196678540340379</v>
      </c>
      <c r="C11" s="30">
        <v>0.49536884692893896</v>
      </c>
      <c r="D11" s="30">
        <v>0.50706835929597649</v>
      </c>
      <c r="E11" s="30">
        <v>0.58431995595843389</v>
      </c>
      <c r="F11" s="30">
        <v>0.6325511447314317</v>
      </c>
      <c r="G11" s="30">
        <v>0.70108499113545997</v>
      </c>
      <c r="H11" s="30">
        <v>0.78514611130790712</v>
      </c>
      <c r="I11" s="30">
        <v>1.3790286846707105</v>
      </c>
      <c r="J11" s="30">
        <v>1.0375036292248825</v>
      </c>
      <c r="K11" s="30">
        <v>1.2065056700724492</v>
      </c>
      <c r="L11" s="30">
        <v>1.3908194484535195</v>
      </c>
      <c r="M11" s="30">
        <v>1.5211446175548684</v>
      </c>
      <c r="N11" s="30">
        <v>1.7111898636042964</v>
      </c>
      <c r="O11" s="30">
        <v>1.8949366893884572</v>
      </c>
      <c r="P11" s="30">
        <v>2.3858030033055075</v>
      </c>
      <c r="Q11" s="30">
        <v>2.7134336057119</v>
      </c>
      <c r="R11" s="30">
        <v>3.0042346669671596</v>
      </c>
      <c r="S11" s="30">
        <v>3.317123805985402</v>
      </c>
      <c r="T11" s="30">
        <v>3.4822315026793049</v>
      </c>
      <c r="U11" s="30">
        <v>3.7371730472363449</v>
      </c>
      <c r="V11" s="30">
        <v>3.9323658658468057</v>
      </c>
      <c r="W11" s="30">
        <v>4.0706327875749979</v>
      </c>
      <c r="X11" s="30">
        <v>4.252025438332101</v>
      </c>
      <c r="Y11" s="30">
        <v>4.4664484783019036</v>
      </c>
      <c r="Z11" s="30">
        <v>4.6155291414922361</v>
      </c>
      <c r="AA11" s="30">
        <v>4.8137285372858516</v>
      </c>
      <c r="AB11" s="30">
        <v>4.8859650147203455</v>
      </c>
      <c r="AC11" s="30">
        <v>4.9669514071882084</v>
      </c>
      <c r="AD11" s="30">
        <v>5.0422072380253375</v>
      </c>
      <c r="AE11" s="30">
        <v>5.1135347615828746</v>
      </c>
      <c r="AF11" s="30">
        <v>4.9953843085331107</v>
      </c>
      <c r="AG11" s="30">
        <v>5.0471051420254645</v>
      </c>
      <c r="AH11" s="30">
        <v>5.1755757021793141</v>
      </c>
      <c r="AI11" s="30">
        <v>5.0036400090024618</v>
      </c>
      <c r="AJ11" s="30">
        <v>4.9427520547924928</v>
      </c>
      <c r="AK11" s="30">
        <v>5.0122732773745184</v>
      </c>
      <c r="AL11" s="30">
        <v>5.1344098676569097</v>
      </c>
      <c r="AM11" s="30">
        <v>5.3963737838638295</v>
      </c>
      <c r="AN11" s="30">
        <v>5.5994349525329632</v>
      </c>
      <c r="AO11" s="30">
        <v>5.6745198425611321</v>
      </c>
      <c r="AP11" s="30">
        <v>5.7449906456867055</v>
      </c>
      <c r="AQ11" s="30">
        <v>5.7240115372597815</v>
      </c>
      <c r="AR11" s="30">
        <v>5.8052181505213545</v>
      </c>
      <c r="AS11" s="30">
        <v>5.9831068451717107</v>
      </c>
      <c r="AT11" s="30">
        <v>6.2642706984152419</v>
      </c>
      <c r="AU11" s="30">
        <v>6.2879850203447232</v>
      </c>
      <c r="AV11" s="30">
        <v>6.3075834933009247</v>
      </c>
      <c r="AW11" s="30">
        <v>6.4517793909242576</v>
      </c>
      <c r="AX11" s="30">
        <v>6.390905400843172</v>
      </c>
      <c r="AY11" s="30">
        <v>6.5877484815344491</v>
      </c>
      <c r="AZ11" s="30">
        <v>6.5654583472164907</v>
      </c>
      <c r="BA11" s="30">
        <v>6.6561586985578849</v>
      </c>
      <c r="BB11" s="30">
        <v>6.6577655927867641</v>
      </c>
      <c r="BC11" s="30">
        <v>6.8579806718656373</v>
      </c>
      <c r="BD11" s="30">
        <v>6.7443795316127835</v>
      </c>
      <c r="BE11" s="30">
        <v>7.1315901560534032</v>
      </c>
      <c r="BF11" s="30">
        <v>7.213003670994186</v>
      </c>
      <c r="BG11" s="30">
        <v>7.340263030369127</v>
      </c>
      <c r="BH11" s="30">
        <v>7.4215722906397525</v>
      </c>
    </row>
    <row r="12" spans="1:60" x14ac:dyDescent="0.2">
      <c r="A12" s="7" t="s">
        <v>5</v>
      </c>
      <c r="B12" s="30">
        <v>0.41815911435906444</v>
      </c>
      <c r="C12" s="30">
        <v>0.47065609289962412</v>
      </c>
      <c r="D12" s="30">
        <v>0.50116730939140031</v>
      </c>
      <c r="E12" s="30">
        <v>0.6147924339568136</v>
      </c>
      <c r="F12" s="30">
        <v>0.74410145409168305</v>
      </c>
      <c r="G12" s="30">
        <v>0.78907983609192367</v>
      </c>
      <c r="H12" s="30">
        <v>0.79811547572758978</v>
      </c>
      <c r="I12" s="30">
        <v>0.94497925598056598</v>
      </c>
      <c r="J12" s="30">
        <v>0.97179511421060272</v>
      </c>
      <c r="K12" s="30">
        <v>1.0503323905128641</v>
      </c>
      <c r="L12" s="30">
        <v>1.2437175648989898</v>
      </c>
      <c r="M12" s="30">
        <v>1.386200689305626</v>
      </c>
      <c r="N12" s="30">
        <v>1.525570312745766</v>
      </c>
      <c r="O12" s="30">
        <v>1.6968252494819327</v>
      </c>
      <c r="P12" s="30">
        <v>0.42609046362362551</v>
      </c>
      <c r="Q12" s="30">
        <v>2.5356296084768193</v>
      </c>
      <c r="R12" s="30">
        <v>2.8892824197978109</v>
      </c>
      <c r="S12" s="30">
        <v>3.117074792324785</v>
      </c>
      <c r="T12" s="30">
        <v>3.4309281840628616</v>
      </c>
      <c r="U12" s="30">
        <v>3.7169397300037357</v>
      </c>
      <c r="V12" s="30">
        <v>4.0236605383086337</v>
      </c>
      <c r="W12" s="30">
        <v>4.4239777573831178</v>
      </c>
      <c r="X12" s="30">
        <v>4.6123940753960255</v>
      </c>
      <c r="Y12" s="30">
        <v>4.9337588423040808</v>
      </c>
      <c r="Z12" s="30">
        <v>5.1120430588868171</v>
      </c>
      <c r="AA12" s="30">
        <v>5.228024213067842</v>
      </c>
      <c r="AB12" s="30">
        <v>5.3398503373676967</v>
      </c>
      <c r="AC12" s="30">
        <v>5.4554436781052624</v>
      </c>
      <c r="AD12" s="30">
        <v>5.5671515724536604</v>
      </c>
      <c r="AE12" s="30">
        <v>5.5459396355728359</v>
      </c>
      <c r="AF12" s="30">
        <v>5.6620731014059746</v>
      </c>
      <c r="AG12" s="30">
        <v>5.7134232062145118</v>
      </c>
      <c r="AH12" s="30">
        <v>5.7762394785254001</v>
      </c>
      <c r="AI12" s="30">
        <v>5.8357532593249895</v>
      </c>
      <c r="AJ12" s="30">
        <v>5.8185681868001247</v>
      </c>
      <c r="AK12" s="30">
        <v>5.9295084632436375</v>
      </c>
      <c r="AL12" s="30">
        <v>6.1104418984807181</v>
      </c>
      <c r="AM12" s="30">
        <v>6.1650194979767985</v>
      </c>
      <c r="AN12" s="30">
        <v>6.0351193294709669</v>
      </c>
      <c r="AO12" s="30">
        <v>5.9620556917183292</v>
      </c>
      <c r="AP12" s="30">
        <v>6.1814259983394484</v>
      </c>
      <c r="AQ12" s="30">
        <v>6.5968424868708571</v>
      </c>
      <c r="AR12" s="30">
        <v>6.7163174017188512</v>
      </c>
      <c r="AS12" s="30">
        <v>6.6882140284629159</v>
      </c>
      <c r="AT12" s="30">
        <v>6.8783832429898926</v>
      </c>
      <c r="AU12" s="30">
        <v>7.0511710205154525</v>
      </c>
      <c r="AV12" s="30">
        <v>6.930120114909835</v>
      </c>
      <c r="AW12" s="30">
        <v>6.837785858694291</v>
      </c>
      <c r="AX12" s="30">
        <v>6.8385951411088248</v>
      </c>
      <c r="AY12" s="30">
        <v>6.6498972156446481</v>
      </c>
      <c r="AZ12" s="30">
        <v>6.7343248626125645</v>
      </c>
      <c r="BA12" s="30">
        <v>6.6629585401793401</v>
      </c>
      <c r="BB12" s="30">
        <v>6.5971268231841078</v>
      </c>
      <c r="BC12" s="30">
        <v>6.5451751094047577</v>
      </c>
      <c r="BD12" s="30">
        <v>6.4643829927197221</v>
      </c>
      <c r="BE12" s="30">
        <v>6.7815122665133165</v>
      </c>
      <c r="BF12" s="30">
        <v>6.6951732695341972</v>
      </c>
      <c r="BG12" s="30">
        <v>6.7800901465330092</v>
      </c>
      <c r="BH12" s="30">
        <v>6.7453511095348935</v>
      </c>
    </row>
    <row r="13" spans="1:60" x14ac:dyDescent="0.2">
      <c r="A13" s="7" t="s">
        <v>77</v>
      </c>
      <c r="B13" s="30">
        <v>0.37250659988814389</v>
      </c>
      <c r="C13" s="30">
        <v>0.42150977804985973</v>
      </c>
      <c r="D13" s="30">
        <v>0.44133410896859354</v>
      </c>
      <c r="E13" s="30">
        <v>0.50943603691878614</v>
      </c>
      <c r="F13" s="30">
        <v>0.55552977330764486</v>
      </c>
      <c r="G13" s="30">
        <v>0.62004270788962368</v>
      </c>
      <c r="H13" s="30">
        <v>0.70441500986370154</v>
      </c>
      <c r="I13" s="30">
        <v>0.85439932502188942</v>
      </c>
      <c r="J13" s="30">
        <v>1.0438825779302041</v>
      </c>
      <c r="K13" s="30">
        <v>1.2229763946038816</v>
      </c>
      <c r="L13" s="30">
        <v>1.4119711820098608</v>
      </c>
      <c r="M13" s="30">
        <v>1.5531689961718258</v>
      </c>
      <c r="N13" s="30">
        <v>1.6997712950209511</v>
      </c>
      <c r="O13" s="30">
        <v>1.8597328953181309</v>
      </c>
      <c r="P13" s="30">
        <v>2.3740616666662384</v>
      </c>
      <c r="Q13" s="30">
        <v>2.6779987573398296</v>
      </c>
      <c r="R13" s="30">
        <v>3.0130692366094465</v>
      </c>
      <c r="S13" s="30">
        <v>3.2402335820168493</v>
      </c>
      <c r="T13" s="30">
        <v>3.4569414455899907</v>
      </c>
      <c r="U13" s="30">
        <v>3.7221071504820591</v>
      </c>
      <c r="V13" s="30">
        <v>3.9729072996126651</v>
      </c>
      <c r="W13" s="30">
        <v>4.1786302585875035</v>
      </c>
      <c r="X13" s="30">
        <v>4.4034155246865136</v>
      </c>
      <c r="Y13" s="30">
        <v>4.5854950405990405</v>
      </c>
      <c r="Z13" s="30">
        <v>4.6999239529467296</v>
      </c>
      <c r="AA13" s="30">
        <v>4.9476513002624092</v>
      </c>
      <c r="AB13" s="30">
        <v>5.1077660542980263</v>
      </c>
      <c r="AC13" s="30">
        <v>5.1278002124279229</v>
      </c>
      <c r="AD13" s="30">
        <v>5.247445343236274</v>
      </c>
      <c r="AE13" s="30">
        <v>5.3335898738183882</v>
      </c>
      <c r="AF13" s="30">
        <v>5.3743465546059754</v>
      </c>
      <c r="AG13" s="30">
        <v>5.26038141367283</v>
      </c>
      <c r="AH13" s="30">
        <v>5.3717335994385076</v>
      </c>
      <c r="AI13" s="30">
        <v>5.3883516838639247</v>
      </c>
      <c r="AJ13" s="30">
        <v>5.5318916243162404</v>
      </c>
      <c r="AK13" s="30">
        <v>5.57891215028455</v>
      </c>
      <c r="AL13" s="30">
        <v>5.7097908018287606</v>
      </c>
      <c r="AM13" s="30">
        <v>5.7550986301092255</v>
      </c>
      <c r="AN13" s="30">
        <v>5.7722265176157634</v>
      </c>
      <c r="AO13" s="30">
        <v>5.8150717762224611</v>
      </c>
      <c r="AP13" s="30">
        <v>5.8956257131164991</v>
      </c>
      <c r="AQ13" s="30">
        <v>5.8969455679604561</v>
      </c>
      <c r="AR13" s="30">
        <v>5.9424878524608014</v>
      </c>
      <c r="AS13" s="30">
        <v>6.1311699501559591</v>
      </c>
      <c r="AT13" s="30">
        <v>6.3475945248437835</v>
      </c>
      <c r="AU13" s="30">
        <v>6.3579600548176103</v>
      </c>
      <c r="AV13" s="30">
        <v>6.4187047464627396</v>
      </c>
      <c r="AW13" s="30">
        <v>6.4344516470183315</v>
      </c>
      <c r="AX13" s="30">
        <v>6.3206332500155709</v>
      </c>
      <c r="AY13" s="30">
        <v>6.4331044833856685</v>
      </c>
      <c r="AZ13" s="30">
        <v>6.4721180780997303</v>
      </c>
      <c r="BA13" s="30">
        <v>6.5494283380977034</v>
      </c>
      <c r="BB13" s="30">
        <v>6.634133009241995</v>
      </c>
      <c r="BC13" s="30">
        <v>6.8026989399851354</v>
      </c>
      <c r="BD13" s="30">
        <v>6.6341061726987549</v>
      </c>
      <c r="BE13" s="30">
        <v>7.024964105145056</v>
      </c>
      <c r="BF13" s="30">
        <v>7.2164424581389879</v>
      </c>
      <c r="BG13" s="30">
        <v>7.4383968546197856</v>
      </c>
      <c r="BH13" s="30">
        <v>7.4904219131006728</v>
      </c>
    </row>
    <row r="14" spans="1:60" x14ac:dyDescent="0.2">
      <c r="A14" s="7" t="s">
        <v>78</v>
      </c>
      <c r="B14" s="30">
        <v>0.37591185635102164</v>
      </c>
      <c r="C14" s="30">
        <v>0.43000220035738013</v>
      </c>
      <c r="D14" s="30">
        <v>0.45208235608400865</v>
      </c>
      <c r="E14" s="30">
        <v>0.51515610112546262</v>
      </c>
      <c r="F14" s="30">
        <v>0.57485110110985727</v>
      </c>
      <c r="G14" s="30">
        <v>0.63571581352012507</v>
      </c>
      <c r="H14" s="30">
        <v>0.72220348861092376</v>
      </c>
      <c r="I14" s="30">
        <v>0.85936761430288944</v>
      </c>
      <c r="J14" s="30">
        <v>1.0079585084088838</v>
      </c>
      <c r="K14" s="30">
        <v>1.202989860251567</v>
      </c>
      <c r="L14" s="30">
        <v>1.4332680465649337</v>
      </c>
      <c r="M14" s="30">
        <v>1.5796765308760383</v>
      </c>
      <c r="N14" s="30">
        <v>1.729786199688419</v>
      </c>
      <c r="O14" s="30">
        <v>1.9055462661611409</v>
      </c>
      <c r="P14" s="30">
        <v>2.3701003977289128</v>
      </c>
      <c r="Q14" s="30">
        <v>2.6465868393523451</v>
      </c>
      <c r="R14" s="30">
        <v>2.9596227512961373</v>
      </c>
      <c r="S14" s="30">
        <v>3.1732940956604825</v>
      </c>
      <c r="T14" s="30">
        <v>3.3437717686367292</v>
      </c>
      <c r="U14" s="30">
        <v>3.5463879712767685</v>
      </c>
      <c r="V14" s="30">
        <v>3.7254388912517475</v>
      </c>
      <c r="W14" s="30">
        <v>3.8712624568860248</v>
      </c>
      <c r="X14" s="30">
        <v>4.1240842478378115</v>
      </c>
      <c r="Y14" s="30">
        <v>4.2838687103106308</v>
      </c>
      <c r="Z14" s="30">
        <v>4.4096500325363737</v>
      </c>
      <c r="AA14" s="30">
        <v>4.6992087031324088</v>
      </c>
      <c r="AB14" s="30">
        <v>4.7625072802083999</v>
      </c>
      <c r="AC14" s="30">
        <v>4.7970534710715746</v>
      </c>
      <c r="AD14" s="30">
        <v>4.984447596789467</v>
      </c>
      <c r="AE14" s="30">
        <v>4.8943387191169592</v>
      </c>
      <c r="AF14" s="30">
        <v>4.9646309387814087</v>
      </c>
      <c r="AG14" s="30">
        <v>5.0380090124313668</v>
      </c>
      <c r="AH14" s="30">
        <v>5.1656838221377859</v>
      </c>
      <c r="AI14" s="30">
        <v>5.1512582333739134</v>
      </c>
      <c r="AJ14" s="30">
        <v>5.2635850977842225</v>
      </c>
      <c r="AK14" s="30">
        <v>5.2922397842285003</v>
      </c>
      <c r="AL14" s="30">
        <v>5.4576047443461615</v>
      </c>
      <c r="AM14" s="30">
        <v>5.598988657407908</v>
      </c>
      <c r="AN14" s="30">
        <v>5.6587324645956496</v>
      </c>
      <c r="AO14" s="30">
        <v>5.7203553882955482</v>
      </c>
      <c r="AP14" s="30">
        <v>5.7980066035862752</v>
      </c>
      <c r="AQ14" s="30">
        <v>5.846453511238181</v>
      </c>
      <c r="AR14" s="30">
        <v>5.9607552266994253</v>
      </c>
      <c r="AS14" s="30">
        <v>6.172535274626239</v>
      </c>
      <c r="AT14" s="30">
        <v>6.3750766854382688</v>
      </c>
      <c r="AU14" s="30">
        <v>6.244557873013532</v>
      </c>
      <c r="AV14" s="30">
        <v>6.3352109031620323</v>
      </c>
      <c r="AW14" s="30">
        <v>6.3288941875464459</v>
      </c>
      <c r="AX14" s="30">
        <v>6.2184896441904867</v>
      </c>
      <c r="AY14" s="30">
        <v>6.3353766047079949</v>
      </c>
      <c r="AZ14" s="30">
        <v>6.34280963550209</v>
      </c>
      <c r="BA14" s="30">
        <v>6.4087260393870658</v>
      </c>
      <c r="BB14" s="30">
        <v>6.5421482507283173</v>
      </c>
      <c r="BC14" s="30">
        <v>6.6367870623151006</v>
      </c>
      <c r="BD14" s="30">
        <v>6.5451191253180321</v>
      </c>
      <c r="BE14" s="30">
        <v>6.8804997212532566</v>
      </c>
      <c r="BF14" s="30">
        <v>7.0323601596081717</v>
      </c>
      <c r="BG14" s="30">
        <v>7.2306655004671576</v>
      </c>
      <c r="BH14" s="30">
        <v>7.2747616936605768</v>
      </c>
    </row>
    <row r="15" spans="1:60" x14ac:dyDescent="0.2">
      <c r="A15" s="7" t="s">
        <v>2</v>
      </c>
      <c r="B15" s="30">
        <v>0.67617943281473303</v>
      </c>
      <c r="C15" s="30">
        <v>0.73031119470507699</v>
      </c>
      <c r="D15" s="30">
        <v>0.76198658362953786</v>
      </c>
      <c r="E15" s="30">
        <v>0.85431553831325346</v>
      </c>
      <c r="F15" s="30">
        <v>0.92331710165625169</v>
      </c>
      <c r="G15" s="30">
        <v>1.0082439422651059</v>
      </c>
      <c r="H15" s="30">
        <v>1.0978606793413916</v>
      </c>
      <c r="I15" s="30">
        <v>1.2165741443832192</v>
      </c>
      <c r="J15" s="30">
        <v>1.3327182462111553</v>
      </c>
      <c r="K15" s="30">
        <v>1.4794528837885259</v>
      </c>
      <c r="L15" s="30">
        <v>1.6525303234679278</v>
      </c>
      <c r="M15" s="30">
        <v>1.7926731759594483</v>
      </c>
      <c r="N15" s="30">
        <v>1.9232233312395186</v>
      </c>
      <c r="O15" s="30">
        <v>2.100831008220859</v>
      </c>
      <c r="P15" s="30">
        <v>2.6071377927886039</v>
      </c>
      <c r="Q15" s="30">
        <v>2.9254118273060166</v>
      </c>
      <c r="R15" s="30">
        <v>3.2773495217108839</v>
      </c>
      <c r="S15" s="30">
        <v>3.5497103490904758</v>
      </c>
      <c r="T15" s="30">
        <v>3.7647261085576029</v>
      </c>
      <c r="U15" s="30">
        <v>4.0066250154757519</v>
      </c>
      <c r="V15" s="30">
        <v>4.2056898250881485</v>
      </c>
      <c r="W15" s="30">
        <v>4.3936614264301737</v>
      </c>
      <c r="X15" s="30">
        <v>4.612060117130226</v>
      </c>
      <c r="Y15" s="30">
        <v>4.8353917555398747</v>
      </c>
      <c r="Z15" s="30">
        <v>5.0257605901818652</v>
      </c>
      <c r="AA15" s="30">
        <v>5.2877696956613791</v>
      </c>
      <c r="AB15" s="30">
        <v>5.4639429375836324</v>
      </c>
      <c r="AC15" s="30">
        <v>5.4964126503941584</v>
      </c>
      <c r="AD15" s="30">
        <v>5.5801906106653432</v>
      </c>
      <c r="AE15" s="30">
        <v>5.6875883706459334</v>
      </c>
      <c r="AF15" s="30">
        <v>5.7219950542141813</v>
      </c>
      <c r="AG15" s="30">
        <v>5.730680485385693</v>
      </c>
      <c r="AH15" s="30">
        <v>5.8174390998557906</v>
      </c>
      <c r="AI15" s="30">
        <v>5.8960905680243334</v>
      </c>
      <c r="AJ15" s="30">
        <v>5.8719796202365631</v>
      </c>
      <c r="AK15" s="30">
        <v>5.881667979521235</v>
      </c>
      <c r="AL15" s="30">
        <v>6.0000123767057074</v>
      </c>
      <c r="AM15" s="30">
        <v>6.1474075347123307</v>
      </c>
      <c r="AN15" s="30">
        <v>6.1988971175143766</v>
      </c>
      <c r="AO15" s="30">
        <v>6.2054858240063764</v>
      </c>
      <c r="AP15" s="30">
        <v>6.2766909342845851</v>
      </c>
      <c r="AQ15" s="30">
        <v>6.2630331962385357</v>
      </c>
      <c r="AR15" s="30">
        <v>6.2850901160075399</v>
      </c>
      <c r="AS15" s="30">
        <v>6.359673151509952</v>
      </c>
      <c r="AT15" s="30">
        <v>6.4815531955075398</v>
      </c>
      <c r="AU15" s="30">
        <v>6.4797800030188393</v>
      </c>
      <c r="AV15" s="30">
        <v>6.6089011931779611</v>
      </c>
      <c r="AW15" s="30">
        <v>6.6730448378432738</v>
      </c>
      <c r="AX15" s="30">
        <v>6.6032387160930135</v>
      </c>
      <c r="AY15" s="30">
        <v>6.7146066457526228</v>
      </c>
      <c r="AZ15" s="30">
        <v>6.7547139369401616</v>
      </c>
      <c r="BA15" s="30">
        <v>6.858424110836923</v>
      </c>
      <c r="BB15" s="30">
        <v>6.9335643256870974</v>
      </c>
      <c r="BC15" s="30">
        <v>7.1030504367011282</v>
      </c>
      <c r="BD15" s="30">
        <v>6.8693419240156341</v>
      </c>
      <c r="BE15" s="30">
        <v>7.3540184394687467</v>
      </c>
      <c r="BF15" s="30">
        <v>7.5285113052903467</v>
      </c>
      <c r="BG15" s="30">
        <v>7.7949570072640251</v>
      </c>
      <c r="BH15" s="30">
        <v>7.8229672445244693</v>
      </c>
    </row>
    <row r="16" spans="1:60" x14ac:dyDescent="0.2">
      <c r="A16" s="7" t="s">
        <v>75</v>
      </c>
      <c r="B16" s="30">
        <v>0.45135570301737554</v>
      </c>
      <c r="C16" s="30">
        <v>0.49862611765279113</v>
      </c>
      <c r="D16" s="30">
        <v>0.51378471117580826</v>
      </c>
      <c r="E16" s="30">
        <v>0.57603439468028361</v>
      </c>
      <c r="F16" s="30">
        <v>0.62686491447324599</v>
      </c>
      <c r="G16" s="30">
        <v>0.69798708953940325</v>
      </c>
      <c r="H16" s="30">
        <v>0.79155338974505518</v>
      </c>
      <c r="I16" s="30">
        <v>0.92575380686000752</v>
      </c>
      <c r="J16" s="30">
        <v>1.0630303913258692</v>
      </c>
      <c r="K16" s="30">
        <v>1.2146488545149658</v>
      </c>
      <c r="L16" s="30">
        <v>1.4025228598236805</v>
      </c>
      <c r="M16" s="30">
        <v>1.5503371831286088</v>
      </c>
      <c r="N16" s="30">
        <v>1.7054789841450682</v>
      </c>
      <c r="O16" s="30">
        <v>1.8862570705159389</v>
      </c>
      <c r="P16" s="30">
        <v>2.3808509389560673</v>
      </c>
      <c r="Q16" s="30">
        <v>2.6214123526043962</v>
      </c>
      <c r="R16" s="30">
        <v>2.9937224835605059</v>
      </c>
      <c r="S16" s="30">
        <v>3.225615371579718</v>
      </c>
      <c r="T16" s="30">
        <v>3.4105258657362034</v>
      </c>
      <c r="U16" s="30">
        <v>3.6423546475878688</v>
      </c>
      <c r="V16" s="30">
        <v>3.8570699455696884</v>
      </c>
      <c r="W16" s="30">
        <v>4.0340970655967521</v>
      </c>
      <c r="X16" s="30">
        <v>4.2243316973047742</v>
      </c>
      <c r="Y16" s="30">
        <v>4.4482270419149588</v>
      </c>
      <c r="Z16" s="30">
        <v>4.5713692035899198</v>
      </c>
      <c r="AA16" s="30">
        <v>4.7660168470677649</v>
      </c>
      <c r="AB16" s="30">
        <v>4.859387180811841</v>
      </c>
      <c r="AC16" s="30">
        <v>4.8694655347133793</v>
      </c>
      <c r="AD16" s="30">
        <v>4.9311552147070667</v>
      </c>
      <c r="AE16" s="30">
        <v>5.0626591725420633</v>
      </c>
      <c r="AF16" s="30">
        <v>5.0605392230491368</v>
      </c>
      <c r="AG16" s="30">
        <v>5.0513273871563422</v>
      </c>
      <c r="AH16" s="30">
        <v>5.0845187126328746</v>
      </c>
      <c r="AI16" s="30">
        <v>4.8829434930194919</v>
      </c>
      <c r="AJ16" s="30">
        <v>4.9774547482287996</v>
      </c>
      <c r="AK16" s="30">
        <v>5.1295341900436373</v>
      </c>
      <c r="AL16" s="30">
        <v>5.3162766480835293</v>
      </c>
      <c r="AM16" s="30">
        <v>5.4313056103985726</v>
      </c>
      <c r="AN16" s="30">
        <v>5.5271065166750413</v>
      </c>
      <c r="AO16" s="30">
        <v>5.6209489445882355</v>
      </c>
      <c r="AP16" s="30">
        <v>5.636490720402147</v>
      </c>
      <c r="AQ16" s="30">
        <v>5.6552755114572282</v>
      </c>
      <c r="AR16" s="30">
        <v>5.5875295960782969</v>
      </c>
      <c r="AS16" s="30">
        <v>5.5653470124727891</v>
      </c>
      <c r="AT16" s="30">
        <v>5.6892702516398748</v>
      </c>
      <c r="AU16" s="30">
        <v>5.7622174549781819</v>
      </c>
      <c r="AV16" s="30">
        <v>5.8930627167237981</v>
      </c>
      <c r="AW16" s="30">
        <v>6.0073548503450107</v>
      </c>
      <c r="AX16" s="30">
        <v>6.0692322926157312</v>
      </c>
      <c r="AY16" s="30">
        <v>6.2086098051226086</v>
      </c>
      <c r="AZ16" s="30">
        <v>6.30706523703273</v>
      </c>
      <c r="BA16" s="30">
        <v>6.3731524371784891</v>
      </c>
      <c r="BB16" s="30">
        <v>6.4863185056315773</v>
      </c>
      <c r="BC16" s="30">
        <v>6.5849297259318904</v>
      </c>
      <c r="BD16" s="30">
        <v>6.4206239183836598</v>
      </c>
      <c r="BE16" s="30">
        <v>6.7936215690740669</v>
      </c>
      <c r="BF16" s="30">
        <v>7.037172161042343</v>
      </c>
      <c r="BG16" s="30">
        <v>7.1754662741490884</v>
      </c>
      <c r="BH16" s="30">
        <v>7.1899934070331391</v>
      </c>
    </row>
    <row r="17" spans="1:60" x14ac:dyDescent="0.2">
      <c r="A17" s="7" t="s">
        <v>79</v>
      </c>
      <c r="B17" s="30">
        <v>0.48121122326336774</v>
      </c>
      <c r="C17" s="30">
        <v>0.53363708102221985</v>
      </c>
      <c r="D17" s="30">
        <v>0.55306536843737752</v>
      </c>
      <c r="E17" s="30">
        <v>0.62421551940281716</v>
      </c>
      <c r="F17" s="30">
        <v>0.6804720163694703</v>
      </c>
      <c r="G17" s="30">
        <v>0.74744656010946986</v>
      </c>
      <c r="H17" s="30">
        <v>0.82879257228102987</v>
      </c>
      <c r="I17" s="30">
        <v>0.95896789945538841</v>
      </c>
      <c r="J17" s="30">
        <v>1.111141050218261</v>
      </c>
      <c r="K17" s="30">
        <v>1.2967275255330712</v>
      </c>
      <c r="L17" s="30">
        <v>1.4774879983243792</v>
      </c>
      <c r="M17" s="30">
        <v>1.614426365863139</v>
      </c>
      <c r="N17" s="30">
        <v>1.7731810011500768</v>
      </c>
      <c r="O17" s="30">
        <v>1.9547134604882677</v>
      </c>
      <c r="P17" s="30">
        <v>2.4816718238158009</v>
      </c>
      <c r="Q17" s="30">
        <v>2.8266214963759229</v>
      </c>
      <c r="R17" s="30">
        <v>3.1319131862846685</v>
      </c>
      <c r="S17" s="30">
        <v>3.3726141920132657</v>
      </c>
      <c r="T17" s="30">
        <v>3.5549348360685511</v>
      </c>
      <c r="U17" s="30">
        <v>3.7301516863789326</v>
      </c>
      <c r="V17" s="30">
        <v>3.9494782720207575</v>
      </c>
      <c r="W17" s="30">
        <v>4.1839484429220297</v>
      </c>
      <c r="X17" s="30">
        <v>4.3807205271845735</v>
      </c>
      <c r="Y17" s="30">
        <v>4.5175708229602085</v>
      </c>
      <c r="Z17" s="30">
        <v>4.6227144657598194</v>
      </c>
      <c r="AA17" s="30">
        <v>4.9059842144872938</v>
      </c>
      <c r="AB17" s="30">
        <v>4.9933153572091742</v>
      </c>
      <c r="AC17" s="30">
        <v>5.0105955689461767</v>
      </c>
      <c r="AD17" s="30">
        <v>4.9695011238756921</v>
      </c>
      <c r="AE17" s="30">
        <v>4.9617604388303835</v>
      </c>
      <c r="AF17" s="30">
        <v>4.9146684346082763</v>
      </c>
      <c r="AG17" s="30">
        <v>4.9652121063854775</v>
      </c>
      <c r="AH17" s="30">
        <v>5.0088930745763562</v>
      </c>
      <c r="AI17" s="30">
        <v>4.8838468078758073</v>
      </c>
      <c r="AJ17" s="30">
        <v>4.7555369328294166</v>
      </c>
      <c r="AK17" s="30">
        <v>4.8033616251992513</v>
      </c>
      <c r="AL17" s="30">
        <v>4.9062154001663547</v>
      </c>
      <c r="AM17" s="30">
        <v>5.1523072592643828</v>
      </c>
      <c r="AN17" s="30">
        <v>5.239236370411481</v>
      </c>
      <c r="AO17" s="30">
        <v>5.3211310373499323</v>
      </c>
      <c r="AP17" s="30">
        <v>5.424561888425707</v>
      </c>
      <c r="AQ17" s="30">
        <v>5.4657595886831158</v>
      </c>
      <c r="AR17" s="30">
        <v>5.5754740918074281</v>
      </c>
      <c r="AS17" s="30">
        <v>5.8301760812832049</v>
      </c>
      <c r="AT17" s="30">
        <v>6.0236450183035286</v>
      </c>
      <c r="AU17" s="30">
        <v>6.1190236056137781</v>
      </c>
      <c r="AV17" s="30">
        <v>6.1265418419113047</v>
      </c>
      <c r="AW17" s="30">
        <v>6.1323117099674578</v>
      </c>
      <c r="AX17" s="30">
        <v>6.0752727447757353</v>
      </c>
      <c r="AY17" s="30">
        <v>6.2246274068737035</v>
      </c>
      <c r="AZ17" s="30">
        <v>6.1911759335638603</v>
      </c>
      <c r="BA17" s="30">
        <v>6.2893989021543097</v>
      </c>
      <c r="BB17" s="30">
        <v>6.2647371916397274</v>
      </c>
      <c r="BC17" s="30">
        <v>6.3409677105637385</v>
      </c>
      <c r="BD17" s="30">
        <v>6.2653370567176188</v>
      </c>
      <c r="BE17" s="30">
        <v>6.5303253941103696</v>
      </c>
      <c r="BF17" s="30">
        <v>6.6646544133834711</v>
      </c>
      <c r="BG17" s="30">
        <v>6.872657494621726</v>
      </c>
      <c r="BH17" s="30">
        <v>6.9575637451008792</v>
      </c>
    </row>
    <row r="18" spans="1:60" x14ac:dyDescent="0.2">
      <c r="A18" s="7" t="s">
        <v>80</v>
      </c>
      <c r="B18" s="30">
        <v>0.43109446535858326</v>
      </c>
      <c r="C18" s="30">
        <v>0.48523142437086519</v>
      </c>
      <c r="D18" s="30">
        <v>0.50257791028249366</v>
      </c>
      <c r="E18" s="30">
        <v>0.58121732170844442</v>
      </c>
      <c r="F18" s="30">
        <v>0.63332465735495069</v>
      </c>
      <c r="G18" s="30">
        <v>0.69578498939981737</v>
      </c>
      <c r="H18" s="30">
        <v>0.76844244356646396</v>
      </c>
      <c r="I18" s="30">
        <v>0.88778701841302665</v>
      </c>
      <c r="J18" s="30">
        <v>1.0368069753089177</v>
      </c>
      <c r="K18" s="30">
        <v>1.1917141354466687</v>
      </c>
      <c r="L18" s="30">
        <v>1.3778670835677056</v>
      </c>
      <c r="M18" s="30">
        <v>1.3748198219239927</v>
      </c>
      <c r="N18" s="30">
        <v>1.6973301905407614</v>
      </c>
      <c r="O18" s="30">
        <v>1.8703005882842212</v>
      </c>
      <c r="P18" s="30">
        <v>2.4069439651759734</v>
      </c>
      <c r="Q18" s="30">
        <v>2.723226746837788</v>
      </c>
      <c r="R18" s="30">
        <v>3.0598079086598351</v>
      </c>
      <c r="S18" s="30">
        <v>3.3065738272664897</v>
      </c>
      <c r="T18" s="30">
        <v>3.5118702685288588</v>
      </c>
      <c r="U18" s="30">
        <v>3.7325434017336505</v>
      </c>
      <c r="V18" s="30">
        <v>3.978232179044892</v>
      </c>
      <c r="W18" s="30">
        <v>4.2058849199801136</v>
      </c>
      <c r="X18" s="30">
        <v>4.4415491178191244</v>
      </c>
      <c r="Y18" s="30">
        <v>4.6240042704587045</v>
      </c>
      <c r="Z18" s="30">
        <v>4.7635384360885684</v>
      </c>
      <c r="AA18" s="30">
        <v>4.9766381335162224</v>
      </c>
      <c r="AB18" s="30">
        <v>5.1417545264772615</v>
      </c>
      <c r="AC18" s="30">
        <v>5.1743139675944194</v>
      </c>
      <c r="AD18" s="30">
        <v>5.1881899979585739</v>
      </c>
      <c r="AE18" s="30">
        <v>5.1951218820244494</v>
      </c>
      <c r="AF18" s="30">
        <v>5.1562949296170775</v>
      </c>
      <c r="AG18" s="30">
        <v>5.1783909721198249</v>
      </c>
      <c r="AH18" s="30">
        <v>5.1744657807429624</v>
      </c>
      <c r="AI18" s="30">
        <v>5.0672537807060252</v>
      </c>
      <c r="AJ18" s="30">
        <v>5.055440363425018</v>
      </c>
      <c r="AK18" s="30">
        <v>5.0886344609345828</v>
      </c>
      <c r="AL18" s="30">
        <v>5.1783950821844726</v>
      </c>
      <c r="AM18" s="30">
        <v>5.4158161072963749</v>
      </c>
      <c r="AN18" s="30">
        <v>5.5275461997329458</v>
      </c>
      <c r="AO18" s="30">
        <v>5.6068496272075574</v>
      </c>
      <c r="AP18" s="30">
        <v>5.6800326777180734</v>
      </c>
      <c r="AQ18" s="30">
        <v>5.7072382069079106</v>
      </c>
      <c r="AR18" s="30">
        <v>5.7824393273132388</v>
      </c>
      <c r="AS18" s="30">
        <v>5.9313019019411346</v>
      </c>
      <c r="AT18" s="30">
        <v>6.1590163465652354</v>
      </c>
      <c r="AU18" s="30">
        <v>6.1892943259634281</v>
      </c>
      <c r="AV18" s="30">
        <v>6.2850739832123637</v>
      </c>
      <c r="AW18" s="30">
        <v>6.3362465885002868</v>
      </c>
      <c r="AX18" s="30">
        <v>6.2808986261375335</v>
      </c>
      <c r="AY18" s="30">
        <v>6.4270499199619264</v>
      </c>
      <c r="AZ18" s="30">
        <v>6.4872571873121272</v>
      </c>
      <c r="BA18" s="30">
        <v>6.6139057566682364</v>
      </c>
      <c r="BB18" s="30">
        <v>6.6165558081993003</v>
      </c>
      <c r="BC18" s="30">
        <v>6.7880439415895264</v>
      </c>
      <c r="BD18" s="30">
        <v>6.5844718015040771</v>
      </c>
      <c r="BE18" s="30">
        <v>7.0396460264481293</v>
      </c>
      <c r="BF18" s="30">
        <v>7.1540941630822008</v>
      </c>
      <c r="BG18" s="30">
        <v>7.3129586963813225</v>
      </c>
      <c r="BH18" s="30">
        <v>7.3182596274236689</v>
      </c>
    </row>
    <row r="19" spans="1:60" x14ac:dyDescent="0.2">
      <c r="A19" s="7" t="s">
        <v>3</v>
      </c>
      <c r="B19" s="30">
        <v>0.44085826982331405</v>
      </c>
      <c r="C19" s="30">
        <v>0.49474734169495788</v>
      </c>
      <c r="D19" s="30">
        <v>0.50979845516565625</v>
      </c>
      <c r="E19" s="30">
        <v>0.58713013871300113</v>
      </c>
      <c r="F19" s="30">
        <v>0.63787214097792078</v>
      </c>
      <c r="G19" s="30">
        <v>0.69055800678311596</v>
      </c>
      <c r="H19" s="30">
        <v>0.77507887695459954</v>
      </c>
      <c r="I19" s="30">
        <v>0.55996585157057799</v>
      </c>
      <c r="J19" s="30">
        <v>1.0123389492774695</v>
      </c>
      <c r="K19" s="30">
        <v>1.171492092244601</v>
      </c>
      <c r="L19" s="30">
        <v>1.3982889409341093</v>
      </c>
      <c r="M19" s="30">
        <v>1.5754997385217933</v>
      </c>
      <c r="N19" s="30">
        <v>1.7290039493379408</v>
      </c>
      <c r="O19" s="30">
        <v>1.8768382707507336</v>
      </c>
      <c r="P19" s="30">
        <v>2.3791654449659889</v>
      </c>
      <c r="Q19" s="30">
        <v>2.6992373021009985</v>
      </c>
      <c r="R19" s="30">
        <v>2.9887019440622087</v>
      </c>
      <c r="S19" s="30">
        <v>3.2620052187474284</v>
      </c>
      <c r="T19" s="30">
        <v>3.4100513634970491</v>
      </c>
      <c r="U19" s="30">
        <v>3.6282788334974718</v>
      </c>
      <c r="V19" s="30">
        <v>3.8247289574294667</v>
      </c>
      <c r="W19" s="30">
        <v>3.9625723166202866</v>
      </c>
      <c r="X19" s="30">
        <v>4.1933925859779926</v>
      </c>
      <c r="Y19" s="30">
        <v>4.3830726029060765</v>
      </c>
      <c r="Z19" s="30">
        <v>4.5038180575273303</v>
      </c>
      <c r="AA19" s="30">
        <v>4.7538660782078255</v>
      </c>
      <c r="AB19" s="30">
        <v>4.9182657402441761</v>
      </c>
      <c r="AC19" s="30">
        <v>4.951771159826083</v>
      </c>
      <c r="AD19" s="30">
        <v>4.9538337483985098</v>
      </c>
      <c r="AE19" s="30">
        <v>5.147042840036975</v>
      </c>
      <c r="AF19" s="30">
        <v>5.1243938368315369</v>
      </c>
      <c r="AG19" s="30">
        <v>4.7903416795994342</v>
      </c>
      <c r="AH19" s="30">
        <v>4.9336203290388001</v>
      </c>
      <c r="AI19" s="30">
        <v>4.87250883642076</v>
      </c>
      <c r="AJ19" s="30">
        <v>4.9391832661939903</v>
      </c>
      <c r="AK19" s="30">
        <v>5.1028889501494428</v>
      </c>
      <c r="AL19" s="30">
        <v>5.3024000734459387</v>
      </c>
      <c r="AM19" s="30">
        <v>5.4954716508265511</v>
      </c>
      <c r="AN19" s="30">
        <v>5.7598924112872654</v>
      </c>
      <c r="AO19" s="30">
        <v>5.7984669375860314</v>
      </c>
      <c r="AP19" s="30">
        <v>5.8280904545899714</v>
      </c>
      <c r="AQ19" s="30">
        <v>5.7837605438092741</v>
      </c>
      <c r="AR19" s="30">
        <v>5.8267095316379081</v>
      </c>
      <c r="AS19" s="30">
        <v>5.8087549225634847</v>
      </c>
      <c r="AT19" s="30">
        <v>5.9606961025227676</v>
      </c>
      <c r="AU19" s="30">
        <v>5.9973768893576427</v>
      </c>
      <c r="AV19" s="30">
        <v>6.0628088792985828</v>
      </c>
      <c r="AW19" s="30">
        <v>6.1296435636046471</v>
      </c>
      <c r="AX19" s="30">
        <v>6.0825691117248866</v>
      </c>
      <c r="AY19" s="30">
        <v>6.151550961924821</v>
      </c>
      <c r="AZ19" s="30">
        <v>6.1259215274976473</v>
      </c>
      <c r="BA19" s="30">
        <v>6.1227254515017071</v>
      </c>
      <c r="BB19" s="30">
        <v>6.1770212355123197</v>
      </c>
      <c r="BC19" s="30">
        <v>6.3272076341643624</v>
      </c>
      <c r="BD19" s="30">
        <v>6.1978213027471396</v>
      </c>
      <c r="BE19" s="30">
        <v>6.5765649665104737</v>
      </c>
      <c r="BF19" s="30">
        <v>6.7047059972114083</v>
      </c>
      <c r="BG19" s="30">
        <v>6.830450145314102</v>
      </c>
      <c r="BH19" s="30">
        <v>6.8798736917738506</v>
      </c>
    </row>
    <row r="20" spans="1:60" x14ac:dyDescent="0.2">
      <c r="A20" s="7" t="s">
        <v>4</v>
      </c>
      <c r="B20" s="30">
        <v>0.49651028250548856</v>
      </c>
      <c r="C20" s="30">
        <v>0.56118726554673881</v>
      </c>
      <c r="D20" s="30">
        <v>0.56774787789431691</v>
      </c>
      <c r="E20" s="30">
        <v>0.63899806979864138</v>
      </c>
      <c r="F20" s="30">
        <v>0.70018810311585622</v>
      </c>
      <c r="G20" s="30">
        <v>0.76918310929302036</v>
      </c>
      <c r="H20" s="30">
        <v>0.85642248107299768</v>
      </c>
      <c r="I20" s="30">
        <v>0.96982845124336436</v>
      </c>
      <c r="J20" s="30">
        <v>1.1198802665630365</v>
      </c>
      <c r="K20" s="30">
        <v>1.3119862795473509</v>
      </c>
      <c r="L20" s="30">
        <v>1.5169913503031032</v>
      </c>
      <c r="M20" s="30">
        <v>1.6822800284978705</v>
      </c>
      <c r="N20" s="30">
        <v>1.8406832809494513</v>
      </c>
      <c r="O20" s="30">
        <v>1.9955590989123138</v>
      </c>
      <c r="P20" s="30">
        <v>2.5050564301277487</v>
      </c>
      <c r="Q20" s="30">
        <v>2.844108549340163</v>
      </c>
      <c r="R20" s="30">
        <v>3.1678750482177742</v>
      </c>
      <c r="S20" s="30">
        <v>3.4284047137532903</v>
      </c>
      <c r="T20" s="30">
        <v>3.6560288876395926</v>
      </c>
      <c r="U20" s="30">
        <v>3.8789444663803923</v>
      </c>
      <c r="V20" s="30">
        <v>4.1587969098857664</v>
      </c>
      <c r="W20" s="30">
        <v>4.3637193592950219</v>
      </c>
      <c r="X20" s="30">
        <v>4.5911697686815778</v>
      </c>
      <c r="Y20" s="30">
        <v>4.8179797637518469</v>
      </c>
      <c r="Z20" s="30">
        <v>4.9285888090359311</v>
      </c>
      <c r="AA20" s="30">
        <v>5.1980885630710301</v>
      </c>
      <c r="AB20" s="30">
        <v>5.3349412350464842</v>
      </c>
      <c r="AC20" s="30">
        <v>5.3614813733147617</v>
      </c>
      <c r="AD20" s="30">
        <v>5.3879846932267998</v>
      </c>
      <c r="AE20" s="30">
        <v>5.3913161895302322</v>
      </c>
      <c r="AF20" s="30">
        <v>5.363817481893836</v>
      </c>
      <c r="AG20" s="30">
        <v>5.3455005159974069</v>
      </c>
      <c r="AH20" s="30">
        <v>5.4433134981554803</v>
      </c>
      <c r="AI20" s="30">
        <v>5.4589132571924353</v>
      </c>
      <c r="AJ20" s="30">
        <v>5.573492962054714</v>
      </c>
      <c r="AK20" s="30">
        <v>5.6889276091517074</v>
      </c>
      <c r="AL20" s="30">
        <v>5.8481838307897922</v>
      </c>
      <c r="AM20" s="30">
        <v>5.9871457968616477</v>
      </c>
      <c r="AN20" s="30">
        <v>6.0877123083263553</v>
      </c>
      <c r="AO20" s="30">
        <v>6.1666750013693923</v>
      </c>
      <c r="AP20" s="30">
        <v>6.21968049945714</v>
      </c>
      <c r="AQ20" s="30">
        <v>6.2566130463813572</v>
      </c>
      <c r="AR20" s="30">
        <v>6.327762433773354</v>
      </c>
      <c r="AS20" s="30">
        <v>6.5263568557279212</v>
      </c>
      <c r="AT20" s="30">
        <v>6.8733958616887145</v>
      </c>
      <c r="AU20" s="30">
        <v>6.8674504962563168</v>
      </c>
      <c r="AV20" s="30">
        <v>6.9520629875608853</v>
      </c>
      <c r="AW20" s="30">
        <v>6.9075774852147145</v>
      </c>
      <c r="AX20" s="30">
        <v>6.8002630363185412</v>
      </c>
      <c r="AY20" s="30">
        <v>6.8707373440653177</v>
      </c>
      <c r="AZ20" s="30">
        <v>6.9396527010304041</v>
      </c>
      <c r="BA20" s="30">
        <v>7.0098176637892333</v>
      </c>
      <c r="BB20" s="30">
        <v>7.0877766880146895</v>
      </c>
      <c r="BC20" s="30">
        <v>7.3049122329364531</v>
      </c>
      <c r="BD20" s="30">
        <v>7.0967207923153275</v>
      </c>
      <c r="BE20" s="30">
        <v>7.6968812454129552</v>
      </c>
      <c r="BF20" s="30">
        <v>7.7985633506268002</v>
      </c>
      <c r="BG20" s="30">
        <v>7.9536942854873676</v>
      </c>
      <c r="BH20" s="30">
        <v>8.0139217944012167</v>
      </c>
    </row>
    <row r="21" spans="1:60" s="2" customFormat="1" x14ac:dyDescent="0.2">
      <c r="A21" s="9" t="s">
        <v>0</v>
      </c>
      <c r="B21" s="31">
        <v>0.51113522904659359</v>
      </c>
      <c r="C21" s="31">
        <v>0.565757863031224</v>
      </c>
      <c r="D21" s="31">
        <v>0.58795122237437325</v>
      </c>
      <c r="E21" s="31">
        <v>0.66857970345764084</v>
      </c>
      <c r="F21" s="31">
        <v>0.729141232922076</v>
      </c>
      <c r="G21" s="31">
        <v>0.80355897143466581</v>
      </c>
      <c r="H21" s="31">
        <v>0.89137541678917309</v>
      </c>
      <c r="I21" s="31">
        <v>1.0178233116448445</v>
      </c>
      <c r="J21" s="31">
        <v>1.1550026661790727</v>
      </c>
      <c r="K21" s="31">
        <v>1.3197626420452804</v>
      </c>
      <c r="L21" s="31">
        <v>1.5103941493556268</v>
      </c>
      <c r="M21" s="31">
        <v>1.6463506937094408</v>
      </c>
      <c r="N21" s="31">
        <v>1.8023887590025169</v>
      </c>
      <c r="O21" s="31">
        <v>1.9763917028693354</v>
      </c>
      <c r="P21" s="31">
        <v>2.4552824367308617</v>
      </c>
      <c r="Q21" s="31">
        <v>2.7972687361795625</v>
      </c>
      <c r="R21" s="31">
        <v>3.1233733096844341</v>
      </c>
      <c r="S21" s="31">
        <v>3.3758405683816748</v>
      </c>
      <c r="T21" s="31">
        <v>3.5762929740001046</v>
      </c>
      <c r="U21" s="31">
        <v>3.8035385883274007</v>
      </c>
      <c r="V21" s="31">
        <v>4.0192193036093622</v>
      </c>
      <c r="W21" s="31">
        <v>4.2168920350960581</v>
      </c>
      <c r="X21" s="31">
        <v>4.4387069992356993</v>
      </c>
      <c r="Y21" s="31">
        <v>4.6382628676964268</v>
      </c>
      <c r="Z21" s="31">
        <v>4.7840068645606184</v>
      </c>
      <c r="AA21" s="31">
        <v>5.0357272374974462</v>
      </c>
      <c r="AB21" s="31">
        <v>5.1797353085428401</v>
      </c>
      <c r="AC21" s="31">
        <v>5.1906338798313199</v>
      </c>
      <c r="AD21" s="31">
        <v>5.2525759546014692</v>
      </c>
      <c r="AE21" s="31">
        <v>5.2990671328031906</v>
      </c>
      <c r="AF21" s="31">
        <v>5.3091654679797085</v>
      </c>
      <c r="AG21" s="31">
        <v>5.2939580590883493</v>
      </c>
      <c r="AH21" s="31">
        <v>5.3752163872283187</v>
      </c>
      <c r="AI21" s="31">
        <v>5.364076404375532</v>
      </c>
      <c r="AJ21" s="31">
        <v>5.3931258560848603</v>
      </c>
      <c r="AK21" s="31">
        <v>5.4466995360229999</v>
      </c>
      <c r="AL21" s="31">
        <v>5.585439567869865</v>
      </c>
      <c r="AM21" s="31">
        <v>5.7426610318913207</v>
      </c>
      <c r="AN21" s="31">
        <v>5.8201011678522869</v>
      </c>
      <c r="AO21" s="31">
        <v>5.8748289121454178</v>
      </c>
      <c r="AP21" s="31">
        <v>5.9368491635386835</v>
      </c>
      <c r="AQ21" s="31">
        <v>5.9493757750863523</v>
      </c>
      <c r="AR21" s="31">
        <v>6.0054772575369819</v>
      </c>
      <c r="AS21" s="31">
        <v>6.1363565243524345</v>
      </c>
      <c r="AT21" s="31">
        <v>6.3251421527194864</v>
      </c>
      <c r="AU21" s="31">
        <v>6.3293815896268164</v>
      </c>
      <c r="AV21" s="31">
        <v>6.4173940702820493</v>
      </c>
      <c r="AW21" s="31">
        <v>6.456434332828473</v>
      </c>
      <c r="AX21" s="31">
        <v>6.3770663969699504</v>
      </c>
      <c r="AY21" s="31">
        <v>6.4845127296179612</v>
      </c>
      <c r="AZ21" s="31">
        <v>6.5122756511632192</v>
      </c>
      <c r="BA21" s="31">
        <v>6.5927066390457929</v>
      </c>
      <c r="BB21" s="31">
        <v>6.6441610883928623</v>
      </c>
      <c r="BC21" s="31">
        <v>6.7940758838553181</v>
      </c>
      <c r="BD21" s="31">
        <v>6.6312232899229411</v>
      </c>
      <c r="BE21" s="31">
        <v>7.0424531366291037</v>
      </c>
      <c r="BF21" s="31">
        <v>7.1983097946400445</v>
      </c>
      <c r="BG21" s="31">
        <v>7.3935210146601982</v>
      </c>
      <c r="BH21" s="31">
        <v>7.4249442273693775</v>
      </c>
    </row>
  </sheetData>
  <phoneticPr fontId="1" type="noConversion"/>
  <hyperlinks>
    <hyperlink ref="A2" location="Sommaire!A1" display="Retour au menu &quot;Exploitation des films&quot;" xr:uid="{00000000-0004-0000-0A00-000000000000}"/>
  </hyperlinks>
  <pageMargins left="0.78740157499999996" right="0.78740157499999996" top="0.984251969" bottom="0.984251969" header="0.4921259845" footer="0.492125984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A1:BH21"/>
  <sheetViews>
    <sheetView workbookViewId="0"/>
  </sheetViews>
  <sheetFormatPr baseColWidth="10" defaultColWidth="5.5703125" defaultRowHeight="12" x14ac:dyDescent="0.2"/>
  <cols>
    <col min="1" max="1" width="32.7109375" style="1" bestFit="1" customWidth="1"/>
    <col min="2" max="15" width="5" style="1" bestFit="1" customWidth="1"/>
    <col min="16" max="16" width="5.42578125" style="1" bestFit="1" customWidth="1"/>
    <col min="17" max="38" width="5" style="1" bestFit="1" customWidth="1"/>
    <col min="39" max="51" width="5" style="4" bestFit="1" customWidth="1"/>
    <col min="52" max="55" width="5" style="1" bestFit="1" customWidth="1"/>
    <col min="56"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c r="BF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c r="BF2" s="39"/>
    </row>
    <row r="3" spans="1:60" s="36" customFormat="1" ht="12.75" x14ac:dyDescent="0.2">
      <c r="AM3" s="37"/>
      <c r="AN3" s="37"/>
      <c r="AO3" s="37"/>
      <c r="AP3" s="37"/>
      <c r="AQ3" s="37"/>
      <c r="AR3" s="37"/>
      <c r="AS3" s="37"/>
      <c r="AT3" s="37"/>
      <c r="AU3" s="37"/>
      <c r="AV3" s="37"/>
      <c r="AW3" s="37"/>
      <c r="AX3" s="37"/>
      <c r="AY3" s="37"/>
      <c r="AZ3" s="37"/>
      <c r="BA3" s="37"/>
      <c r="BB3" s="37"/>
      <c r="BC3" s="37"/>
      <c r="BD3" s="37"/>
      <c r="BE3" s="37"/>
      <c r="BF3" s="37"/>
    </row>
    <row r="4" spans="1:60" s="36" customFormat="1" ht="12.75" x14ac:dyDescent="0.2">
      <c r="AM4" s="37"/>
      <c r="AN4" s="37"/>
      <c r="AO4" s="37"/>
      <c r="AP4" s="37"/>
      <c r="AQ4" s="37"/>
      <c r="AR4" s="37"/>
      <c r="AS4" s="37"/>
      <c r="AT4" s="37"/>
      <c r="AU4" s="37"/>
      <c r="AV4" s="37"/>
      <c r="AW4" s="37"/>
      <c r="AX4" s="37"/>
      <c r="AY4" s="37"/>
      <c r="AZ4" s="37"/>
      <c r="BA4" s="37"/>
      <c r="BB4" s="37"/>
      <c r="BC4" s="37"/>
      <c r="BD4" s="37"/>
      <c r="BE4" s="37"/>
      <c r="BF4" s="37"/>
    </row>
    <row r="5" spans="1:60" ht="12.75" x14ac:dyDescent="0.2">
      <c r="A5" s="3" t="s">
        <v>8</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5"/>
      <c r="B7" s="6">
        <v>1966</v>
      </c>
      <c r="C7" s="6">
        <v>1967</v>
      </c>
      <c r="D7" s="6">
        <v>1968</v>
      </c>
      <c r="E7" s="6">
        <v>1969</v>
      </c>
      <c r="F7" s="6">
        <v>1970</v>
      </c>
      <c r="G7" s="6">
        <v>1971</v>
      </c>
      <c r="H7" s="6">
        <v>1972</v>
      </c>
      <c r="I7" s="6">
        <v>1973</v>
      </c>
      <c r="J7" s="6">
        <v>1974</v>
      </c>
      <c r="K7" s="6">
        <v>1975</v>
      </c>
      <c r="L7" s="6">
        <v>1976</v>
      </c>
      <c r="M7" s="6">
        <v>1977</v>
      </c>
      <c r="N7" s="6">
        <v>1978</v>
      </c>
      <c r="O7" s="6">
        <v>1979</v>
      </c>
      <c r="P7" s="6">
        <v>1980</v>
      </c>
      <c r="Q7" s="6">
        <v>1981</v>
      </c>
      <c r="R7" s="6">
        <v>1982</v>
      </c>
      <c r="S7" s="6">
        <v>1983</v>
      </c>
      <c r="T7" s="6">
        <v>1984</v>
      </c>
      <c r="U7" s="6">
        <v>1985</v>
      </c>
      <c r="V7" s="6">
        <v>1986</v>
      </c>
      <c r="W7" s="6">
        <v>1987</v>
      </c>
      <c r="X7" s="6">
        <v>1988</v>
      </c>
      <c r="Y7" s="6">
        <v>1989</v>
      </c>
      <c r="Z7" s="6">
        <v>1990</v>
      </c>
      <c r="AA7" s="6">
        <v>1991</v>
      </c>
      <c r="AB7" s="6">
        <v>1992</v>
      </c>
      <c r="AC7" s="6">
        <v>1993</v>
      </c>
      <c r="AD7" s="6">
        <v>1994</v>
      </c>
      <c r="AE7" s="6">
        <v>1995</v>
      </c>
      <c r="AF7" s="6">
        <v>1996</v>
      </c>
      <c r="AG7" s="6">
        <v>1997</v>
      </c>
      <c r="AH7" s="6">
        <v>1998</v>
      </c>
      <c r="AI7" s="6">
        <v>1999</v>
      </c>
      <c r="AJ7" s="6">
        <v>2000</v>
      </c>
      <c r="AK7" s="6">
        <v>2001</v>
      </c>
      <c r="AL7" s="6">
        <v>2002</v>
      </c>
      <c r="AM7" s="6">
        <v>2003</v>
      </c>
      <c r="AN7" s="6">
        <v>2004</v>
      </c>
      <c r="AO7" s="6">
        <v>2005</v>
      </c>
      <c r="AP7" s="6">
        <v>2006</v>
      </c>
      <c r="AQ7" s="6">
        <v>2007</v>
      </c>
      <c r="AR7" s="6">
        <v>2008</v>
      </c>
      <c r="AS7" s="6">
        <v>2009</v>
      </c>
      <c r="AT7" s="6">
        <v>2010</v>
      </c>
      <c r="AU7" s="6">
        <v>2011</v>
      </c>
      <c r="AV7" s="6">
        <v>2012</v>
      </c>
      <c r="AW7" s="6">
        <v>2013</v>
      </c>
      <c r="AX7" s="6">
        <v>2014</v>
      </c>
      <c r="AY7" s="6">
        <v>2015</v>
      </c>
      <c r="AZ7" s="6">
        <v>2016</v>
      </c>
      <c r="BA7" s="6">
        <v>2017</v>
      </c>
      <c r="BB7" s="6">
        <v>2018</v>
      </c>
      <c r="BC7" s="6">
        <v>2019</v>
      </c>
      <c r="BD7" s="6">
        <v>2020</v>
      </c>
      <c r="BE7" s="6">
        <v>2021</v>
      </c>
      <c r="BF7" s="6">
        <v>2022</v>
      </c>
      <c r="BG7" s="6">
        <v>2023</v>
      </c>
      <c r="BH7" s="6">
        <v>2024</v>
      </c>
    </row>
    <row r="8" spans="1:60" x14ac:dyDescent="0.2">
      <c r="A8" s="7" t="s">
        <v>72</v>
      </c>
      <c r="B8" s="30">
        <v>3.8407838179785516</v>
      </c>
      <c r="C8" s="30">
        <v>3.5173291910005928</v>
      </c>
      <c r="D8" s="30">
        <v>3.3780723498939</v>
      </c>
      <c r="E8" s="30">
        <v>3.1495492198244417</v>
      </c>
      <c r="F8" s="30">
        <v>3.1842615895746151</v>
      </c>
      <c r="G8" s="30">
        <v>3.0661653167976572</v>
      </c>
      <c r="H8" s="30">
        <v>2.9776222627346054</v>
      </c>
      <c r="I8" s="30">
        <v>2.9086232849622897</v>
      </c>
      <c r="J8" s="30">
        <v>3.0040786017326</v>
      </c>
      <c r="K8" s="30">
        <v>3.0093965747599927</v>
      </c>
      <c r="L8" s="30">
        <v>3.0027538129812608</v>
      </c>
      <c r="M8" s="30">
        <v>2.9058863263833743</v>
      </c>
      <c r="N8" s="30">
        <v>3.0906563938811646</v>
      </c>
      <c r="O8" s="30">
        <v>2.9712509401642087</v>
      </c>
      <c r="P8" s="30">
        <v>2.8875310795644724</v>
      </c>
      <c r="Q8" s="30">
        <v>3.3129411486739255</v>
      </c>
      <c r="R8" s="30">
        <v>3.6621136072771665</v>
      </c>
      <c r="S8" s="30">
        <v>3.6810963003800037</v>
      </c>
      <c r="T8" s="30">
        <v>3.5439555809328791</v>
      </c>
      <c r="U8" s="30">
        <v>3.2787965898127549</v>
      </c>
      <c r="V8" s="30">
        <v>3.2030592451121307</v>
      </c>
      <c r="W8" s="30">
        <v>2.551541357196339</v>
      </c>
      <c r="X8" s="30">
        <v>2.2646452217657616</v>
      </c>
      <c r="Y8" s="30">
        <v>2.2253274433118211</v>
      </c>
      <c r="Z8" s="30">
        <v>2.234099067467358</v>
      </c>
      <c r="AA8" s="30">
        <v>2.107788471188619</v>
      </c>
      <c r="AB8" s="30">
        <v>2.0571279760008934</v>
      </c>
      <c r="AC8" s="30">
        <v>2.3617516110442054</v>
      </c>
      <c r="AD8" s="30">
        <v>2.1896436030734803</v>
      </c>
      <c r="AE8" s="30">
        <v>2.2260015228021284</v>
      </c>
      <c r="AF8" s="30">
        <v>2.3656905059254831</v>
      </c>
      <c r="AG8" s="30">
        <v>2.5489156685410506</v>
      </c>
      <c r="AH8" s="30">
        <v>2.9991275882423571</v>
      </c>
      <c r="AI8" s="30">
        <v>2.6460228477837764</v>
      </c>
      <c r="AJ8" s="30">
        <v>2.7397270891256253</v>
      </c>
      <c r="AK8" s="30">
        <v>3.288795756860698</v>
      </c>
      <c r="AL8" s="30">
        <v>3.2435072764489807</v>
      </c>
      <c r="AM8" s="30">
        <v>2.8053107208404899</v>
      </c>
      <c r="AN8" s="30">
        <v>3.1925373826103871</v>
      </c>
      <c r="AO8" s="30">
        <v>2.5179883512599104</v>
      </c>
      <c r="AP8" s="30">
        <v>2.680021322328594</v>
      </c>
      <c r="AQ8" s="30">
        <v>2.5360894228790332</v>
      </c>
      <c r="AR8" s="30">
        <v>2.6790253834128475</v>
      </c>
      <c r="AS8" s="30">
        <v>2.8823028551218557</v>
      </c>
      <c r="AT8" s="30">
        <v>3.0131462240012916</v>
      </c>
      <c r="AU8" s="30">
        <v>3.1182148100977081</v>
      </c>
      <c r="AV8" s="30">
        <v>2.9200109666001093</v>
      </c>
      <c r="AW8" s="30">
        <v>2.8439431472445449</v>
      </c>
      <c r="AX8" s="30">
        <v>3.0368751928669586</v>
      </c>
      <c r="AY8" s="30">
        <v>2.9917568692150516</v>
      </c>
      <c r="AZ8" s="30">
        <v>3.113755083627598</v>
      </c>
      <c r="BA8" s="30">
        <v>2.9992348348089197</v>
      </c>
      <c r="BB8" s="30">
        <v>2.9455163113632059</v>
      </c>
      <c r="BC8" s="30">
        <v>3.1080780984826868</v>
      </c>
      <c r="BD8" s="30">
        <v>0.94279187240152296</v>
      </c>
      <c r="BE8" s="30">
        <v>1.3779800899484225</v>
      </c>
      <c r="BF8" s="30">
        <v>2.2050440300267646</v>
      </c>
      <c r="BG8" s="30">
        <v>2.654737660938614</v>
      </c>
      <c r="BH8" s="30">
        <v>2.7095735703967732</v>
      </c>
    </row>
    <row r="9" spans="1:60" x14ac:dyDescent="0.2">
      <c r="A9" s="7" t="s">
        <v>73</v>
      </c>
      <c r="B9" s="30">
        <v>3.2811320444710002</v>
      </c>
      <c r="C9" s="30">
        <v>3.0191141305589251</v>
      </c>
      <c r="D9" s="30">
        <v>2.8899437720682912</v>
      </c>
      <c r="E9" s="30">
        <v>2.5654283377394775</v>
      </c>
      <c r="F9" s="30">
        <v>2.6365678319806332</v>
      </c>
      <c r="G9" s="30">
        <v>2.5008942529371292</v>
      </c>
      <c r="H9" s="30">
        <v>2.5527249302615478</v>
      </c>
      <c r="I9" s="30">
        <v>2.4383002819941777</v>
      </c>
      <c r="J9" s="30">
        <v>2.4597246186237771</v>
      </c>
      <c r="K9" s="30">
        <v>2.4558527093483731</v>
      </c>
      <c r="L9" s="30">
        <v>2.3151072109939723</v>
      </c>
      <c r="M9" s="30">
        <v>2.1850094631469332</v>
      </c>
      <c r="N9" s="30">
        <v>2.3736464659516732</v>
      </c>
      <c r="O9" s="30">
        <v>2.335112120690884</v>
      </c>
      <c r="P9" s="30">
        <v>2.18504176891709</v>
      </c>
      <c r="Q9" s="30">
        <v>2.4159407306360987</v>
      </c>
      <c r="R9" s="30">
        <v>2.8078491759458499</v>
      </c>
      <c r="S9" s="30">
        <v>2.7531053843826152</v>
      </c>
      <c r="T9" s="30">
        <v>2.6169568856122321</v>
      </c>
      <c r="U9" s="30">
        <v>2.3139304720751404</v>
      </c>
      <c r="V9" s="30">
        <v>2.2627354247206171</v>
      </c>
      <c r="W9" s="30">
        <v>1.7298285169181886</v>
      </c>
      <c r="X9" s="30">
        <v>1.5294946360376189</v>
      </c>
      <c r="Y9" s="30">
        <v>1.4777611596401439</v>
      </c>
      <c r="Z9" s="30">
        <v>1.4557972874594387</v>
      </c>
      <c r="AA9" s="30">
        <v>1.4036769076293456</v>
      </c>
      <c r="AB9" s="30">
        <v>1.3778004520990392</v>
      </c>
      <c r="AC9" s="30">
        <v>1.7095634942770941</v>
      </c>
      <c r="AD9" s="30">
        <v>1.5513569066643418</v>
      </c>
      <c r="AE9" s="30">
        <v>1.6577092514243934</v>
      </c>
      <c r="AF9" s="30">
        <v>1.6746970987039103</v>
      </c>
      <c r="AG9" s="30">
        <v>1.7947010882518812</v>
      </c>
      <c r="AH9" s="30">
        <v>2.1059599006426546</v>
      </c>
      <c r="AI9" s="30">
        <v>1.78452480743464</v>
      </c>
      <c r="AJ9" s="30">
        <v>1.9251266718149436</v>
      </c>
      <c r="AK9" s="30">
        <v>2.2281750091488255</v>
      </c>
      <c r="AL9" s="30">
        <v>2.1173924490470921</v>
      </c>
      <c r="AM9" s="30">
        <v>1.9614993698418506</v>
      </c>
      <c r="AN9" s="30">
        <v>2.2930737290431491</v>
      </c>
      <c r="AO9" s="30">
        <v>1.943050802879484</v>
      </c>
      <c r="AP9" s="30">
        <v>2.213237944283406</v>
      </c>
      <c r="AQ9" s="30">
        <v>2.0579845421868326</v>
      </c>
      <c r="AR9" s="30">
        <v>2.1983569463443553</v>
      </c>
      <c r="AS9" s="30">
        <v>2.2382065986548865</v>
      </c>
      <c r="AT9" s="30">
        <v>2.2813254504238096</v>
      </c>
      <c r="AU9" s="30">
        <v>2.4189073630568285</v>
      </c>
      <c r="AV9" s="30">
        <v>2.2272446740263372</v>
      </c>
      <c r="AW9" s="30">
        <v>2.1986683152403073</v>
      </c>
      <c r="AX9" s="30">
        <v>2.5095522410906748</v>
      </c>
      <c r="AY9" s="30">
        <v>2.5611149302603251</v>
      </c>
      <c r="AZ9" s="30">
        <v>2.6802954629898927</v>
      </c>
      <c r="BA9" s="30">
        <v>2.6109510006248251</v>
      </c>
      <c r="BB9" s="30">
        <v>2.4961494626364282</v>
      </c>
      <c r="BC9" s="30">
        <v>2.6630925924122009</v>
      </c>
      <c r="BD9" s="30">
        <v>0.80508933330179056</v>
      </c>
      <c r="BE9" s="30">
        <v>1.1613134409776775</v>
      </c>
      <c r="BF9" s="30">
        <v>1.8309124256715479</v>
      </c>
      <c r="BG9" s="30">
        <v>2.1582261922819477</v>
      </c>
      <c r="BH9" s="30">
        <v>2.2052637694631652</v>
      </c>
    </row>
    <row r="10" spans="1:60" x14ac:dyDescent="0.2">
      <c r="A10" s="7" t="s">
        <v>1</v>
      </c>
      <c r="B10" s="30">
        <v>3.1149610631437059</v>
      </c>
      <c r="C10" s="30">
        <v>2.8779318109720053</v>
      </c>
      <c r="D10" s="30">
        <v>2.8170204766417353</v>
      </c>
      <c r="E10" s="30">
        <v>2.5532740708208768</v>
      </c>
      <c r="F10" s="30">
        <v>2.52192484726891</v>
      </c>
      <c r="G10" s="30">
        <v>2.4472963791417888</v>
      </c>
      <c r="H10" s="30">
        <v>2.391711434439983</v>
      </c>
      <c r="I10" s="30">
        <v>2.2585932741036077</v>
      </c>
      <c r="J10" s="30">
        <v>2.2923680113245162</v>
      </c>
      <c r="K10" s="30">
        <v>2.2825865915911461</v>
      </c>
      <c r="L10" s="30">
        <v>2.3008648659895021</v>
      </c>
      <c r="M10" s="30">
        <v>2.1420399925869731</v>
      </c>
      <c r="N10" s="30">
        <v>2.3629813314243377</v>
      </c>
      <c r="O10" s="30">
        <v>2.3470548612460052</v>
      </c>
      <c r="P10" s="30">
        <v>2.3001810268231382</v>
      </c>
      <c r="Q10" s="30">
        <v>2.4783266356116913</v>
      </c>
      <c r="R10" s="30">
        <v>2.8116560298328661</v>
      </c>
      <c r="S10" s="30">
        <v>2.7515726289806883</v>
      </c>
      <c r="T10" s="30">
        <v>2.6801047016011754</v>
      </c>
      <c r="U10" s="30">
        <v>2.574907880169254</v>
      </c>
      <c r="V10" s="30">
        <v>2.5207168987173021</v>
      </c>
      <c r="W10" s="30">
        <v>1.9292343130620999</v>
      </c>
      <c r="X10" s="30">
        <v>1.778992302043283</v>
      </c>
      <c r="Y10" s="30">
        <v>1.7090946990265976</v>
      </c>
      <c r="Z10" s="30">
        <v>1.7320731024114684</v>
      </c>
      <c r="AA10" s="30">
        <v>1.7202671894282764</v>
      </c>
      <c r="AB10" s="30">
        <v>1.6751671711430449</v>
      </c>
      <c r="AC10" s="30">
        <v>1.9620580346954792</v>
      </c>
      <c r="AD10" s="30">
        <v>1.8652236090652652</v>
      </c>
      <c r="AE10" s="30">
        <v>1.8465984928069226</v>
      </c>
      <c r="AF10" s="30">
        <v>1.9079855907909891</v>
      </c>
      <c r="AG10" s="30">
        <v>2.0515322946104479</v>
      </c>
      <c r="AH10" s="30">
        <v>2.3906483283824187</v>
      </c>
      <c r="AI10" s="30">
        <v>2.094973602959469</v>
      </c>
      <c r="AJ10" s="30">
        <v>2.2183482399851076</v>
      </c>
      <c r="AK10" s="30">
        <v>2.4742637887245773</v>
      </c>
      <c r="AL10" s="30">
        <v>2.3698575836393747</v>
      </c>
      <c r="AM10" s="30">
        <v>2.1394355337508006</v>
      </c>
      <c r="AN10" s="30">
        <v>2.5462098655241792</v>
      </c>
      <c r="AO10" s="30">
        <v>2.0345038558496338</v>
      </c>
      <c r="AP10" s="30">
        <v>2.3553280424456733</v>
      </c>
      <c r="AQ10" s="30">
        <v>2.2413909989464229</v>
      </c>
      <c r="AR10" s="30">
        <v>2.4394655139010677</v>
      </c>
      <c r="AS10" s="30">
        <v>2.6362098480729701</v>
      </c>
      <c r="AT10" s="30">
        <v>2.6845251208408754</v>
      </c>
      <c r="AU10" s="30">
        <v>2.8841899626354035</v>
      </c>
      <c r="AV10" s="30">
        <v>2.7335047621742437</v>
      </c>
      <c r="AW10" s="30">
        <v>2.5239402224205478</v>
      </c>
      <c r="AX10" s="30">
        <v>2.7766367474640092</v>
      </c>
      <c r="AY10" s="30">
        <v>2.8089768579726684</v>
      </c>
      <c r="AZ10" s="30">
        <v>2.9215996008591461</v>
      </c>
      <c r="BA10" s="30">
        <v>2.9149567813956012</v>
      </c>
      <c r="BB10" s="30">
        <v>2.7487338451752725</v>
      </c>
      <c r="BC10" s="30">
        <v>2.971999795578903</v>
      </c>
      <c r="BD10" s="30">
        <v>0.94484470493056183</v>
      </c>
      <c r="BE10" s="30">
        <v>1.4244988868000852</v>
      </c>
      <c r="BF10" s="30">
        <v>2.2293827031456308</v>
      </c>
      <c r="BG10" s="30">
        <v>2.7808152532786052</v>
      </c>
      <c r="BH10" s="30">
        <v>2.8396636984222905</v>
      </c>
    </row>
    <row r="11" spans="1:60" x14ac:dyDescent="0.2">
      <c r="A11" s="7" t="s">
        <v>74</v>
      </c>
      <c r="B11" s="30">
        <v>3.0588577848478424</v>
      </c>
      <c r="C11" s="30">
        <v>2.9184057384091751</v>
      </c>
      <c r="D11" s="30">
        <v>2.7427262468106828</v>
      </c>
      <c r="E11" s="30">
        <v>2.499599042928534</v>
      </c>
      <c r="F11" s="30">
        <v>2.5186495283478658</v>
      </c>
      <c r="G11" s="30">
        <v>2.3941855195207808</v>
      </c>
      <c r="H11" s="30">
        <v>2.2197403019744484</v>
      </c>
      <c r="I11" s="30">
        <v>2.1289426248548198</v>
      </c>
      <c r="J11" s="30">
        <v>2.1510485481997677</v>
      </c>
      <c r="K11" s="30">
        <v>2.1660455284552844</v>
      </c>
      <c r="L11" s="30">
        <v>2.0874397212543556</v>
      </c>
      <c r="M11" s="30">
        <v>2.0697337979094077</v>
      </c>
      <c r="N11" s="30">
        <v>2.3628854819976772</v>
      </c>
      <c r="O11" s="30">
        <v>2.2387715730839286</v>
      </c>
      <c r="P11" s="30">
        <v>2.0858444882967841</v>
      </c>
      <c r="Q11" s="30">
        <v>2.4338236982833399</v>
      </c>
      <c r="R11" s="30">
        <v>2.6224425439146635</v>
      </c>
      <c r="S11" s="30">
        <v>2.8043635531701767</v>
      </c>
      <c r="T11" s="30">
        <v>2.7089579200093281</v>
      </c>
      <c r="U11" s="30">
        <v>2.4020874812955246</v>
      </c>
      <c r="V11" s="30">
        <v>2.3432463372794552</v>
      </c>
      <c r="W11" s="30">
        <v>1.6767704442719569</v>
      </c>
      <c r="X11" s="30">
        <v>1.5663059900544221</v>
      </c>
      <c r="Y11" s="30">
        <v>1.4763872704649583</v>
      </c>
      <c r="Z11" s="30">
        <v>1.5051952981519072</v>
      </c>
      <c r="AA11" s="30">
        <v>1.4039976985942972</v>
      </c>
      <c r="AB11" s="30">
        <v>1.3405928885094953</v>
      </c>
      <c r="AC11" s="30">
        <v>1.5421128148201884</v>
      </c>
      <c r="AD11" s="30">
        <v>1.5078531072493206</v>
      </c>
      <c r="AE11" s="30">
        <v>1.5888951858540385</v>
      </c>
      <c r="AF11" s="30">
        <v>1.7216862972164819</v>
      </c>
      <c r="AG11" s="30">
        <v>1.8419086115027932</v>
      </c>
      <c r="AH11" s="30">
        <v>2.1223355539355553</v>
      </c>
      <c r="AI11" s="30">
        <v>1.8298536795653373</v>
      </c>
      <c r="AJ11" s="30">
        <v>1.9377809303581608</v>
      </c>
      <c r="AK11" s="30">
        <v>2.2980725139929903</v>
      </c>
      <c r="AL11" s="30">
        <v>2.1838571766347896</v>
      </c>
      <c r="AM11" s="30">
        <v>1.9645828033150141</v>
      </c>
      <c r="AN11" s="30">
        <v>2.1817550396556236</v>
      </c>
      <c r="AO11" s="30">
        <v>1.8069581487782616</v>
      </c>
      <c r="AP11" s="30">
        <v>2.0335452464273138</v>
      </c>
      <c r="AQ11" s="30">
        <v>1.9280338726690605</v>
      </c>
      <c r="AR11" s="30">
        <v>2.1837258796444541</v>
      </c>
      <c r="AS11" s="30">
        <v>2.4011208337654022</v>
      </c>
      <c r="AT11" s="30">
        <v>2.4458288369697376</v>
      </c>
      <c r="AU11" s="30">
        <v>2.6146721804334208</v>
      </c>
      <c r="AV11" s="30">
        <v>2.4463131337878505</v>
      </c>
      <c r="AW11" s="30">
        <v>2.2868427379977003</v>
      </c>
      <c r="AX11" s="30">
        <v>2.5292312063396922</v>
      </c>
      <c r="AY11" s="30">
        <v>2.4833411390585196</v>
      </c>
      <c r="AZ11" s="30">
        <v>2.5820826130605168</v>
      </c>
      <c r="BA11" s="30">
        <v>2.561585272514769</v>
      </c>
      <c r="BB11" s="30">
        <v>2.4483832652848823</v>
      </c>
      <c r="BC11" s="30">
        <v>2.6610670559273562</v>
      </c>
      <c r="BD11" s="30">
        <v>0.80996496729761991</v>
      </c>
      <c r="BE11" s="30">
        <v>1.1725270380064747</v>
      </c>
      <c r="BF11" s="30">
        <v>1.8683719232433225</v>
      </c>
      <c r="BG11" s="30">
        <v>2.2150961585576385</v>
      </c>
      <c r="BH11" s="30">
        <v>2.2633157884940953</v>
      </c>
    </row>
    <row r="12" spans="1:60" x14ac:dyDescent="0.2">
      <c r="A12" s="7" t="s">
        <v>5</v>
      </c>
      <c r="B12" s="30">
        <v>2.9291752750421596</v>
      </c>
      <c r="C12" s="30">
        <v>2.4969301863789339</v>
      </c>
      <c r="D12" s="30">
        <v>2.3761525489308579</v>
      </c>
      <c r="E12" s="30">
        <v>2.230166667883398</v>
      </c>
      <c r="F12" s="30">
        <v>2.1076551880215217</v>
      </c>
      <c r="G12" s="30">
        <v>1.9610852758452026</v>
      </c>
      <c r="H12" s="30">
        <v>1.9014290544503558</v>
      </c>
      <c r="I12" s="30">
        <v>1.8859378557972966</v>
      </c>
      <c r="J12" s="30">
        <v>1.9371485153980446</v>
      </c>
      <c r="K12" s="30">
        <v>1.9803065118236833</v>
      </c>
      <c r="L12" s="30">
        <v>2.0859985785358921</v>
      </c>
      <c r="M12" s="30">
        <v>2.0497270926918802</v>
      </c>
      <c r="N12" s="30">
        <v>2.0408015401494608</v>
      </c>
      <c r="O12" s="30">
        <v>2.4348399936713605</v>
      </c>
      <c r="P12" s="30">
        <v>11.500428848603953</v>
      </c>
      <c r="Q12" s="30">
        <v>2.5264470517699373</v>
      </c>
      <c r="R12" s="30">
        <v>2.8540166043517723</v>
      </c>
      <c r="S12" s="30">
        <v>2.6771810906910707</v>
      </c>
      <c r="T12" s="30">
        <v>2.2057723854807683</v>
      </c>
      <c r="U12" s="30">
        <v>1.8090291367235967</v>
      </c>
      <c r="V12" s="30">
        <v>1.8039287528416426</v>
      </c>
      <c r="W12" s="30">
        <v>1.4371719048438958</v>
      </c>
      <c r="X12" s="30">
        <v>1.186748459379267</v>
      </c>
      <c r="Y12" s="30">
        <v>1.196911150530358</v>
      </c>
      <c r="Z12" s="30">
        <v>1.1131708049268398</v>
      </c>
      <c r="AA12" s="30">
        <v>1.0755275496020331</v>
      </c>
      <c r="AB12" s="30">
        <v>1.1020353411789203</v>
      </c>
      <c r="AC12" s="30">
        <v>1.3231159179456788</v>
      </c>
      <c r="AD12" s="30">
        <v>1.1138277467896227</v>
      </c>
      <c r="AE12" s="30">
        <v>1.1663899521898877</v>
      </c>
      <c r="AF12" s="30">
        <v>1.1628387830712232</v>
      </c>
      <c r="AG12" s="30">
        <v>1.2210333748405049</v>
      </c>
      <c r="AH12" s="30">
        <v>1.495810850282095</v>
      </c>
      <c r="AI12" s="30">
        <v>1.2387046687881442</v>
      </c>
      <c r="AJ12" s="30">
        <v>1.2448192900736368</v>
      </c>
      <c r="AK12" s="30">
        <v>1.3852672600654892</v>
      </c>
      <c r="AL12" s="30">
        <v>1.3589294224353949</v>
      </c>
      <c r="AM12" s="30">
        <v>1.1116524660170408</v>
      </c>
      <c r="AN12" s="30">
        <v>1.4647998422401893</v>
      </c>
      <c r="AO12" s="30">
        <v>0.83529647895400849</v>
      </c>
      <c r="AP12" s="30">
        <v>0.85645142791604545</v>
      </c>
      <c r="AQ12" s="30">
        <v>0.86210287877050118</v>
      </c>
      <c r="AR12" s="30">
        <v>0.87144167909163894</v>
      </c>
      <c r="AS12" s="30">
        <v>1.0509003326069504</v>
      </c>
      <c r="AT12" s="30">
        <v>1.1256336735864205</v>
      </c>
      <c r="AU12" s="30">
        <v>1.1453578392017434</v>
      </c>
      <c r="AV12" s="30">
        <v>1.008085789654777</v>
      </c>
      <c r="AW12" s="30">
        <v>0.9615724280307375</v>
      </c>
      <c r="AX12" s="30">
        <v>1.1185026952632182</v>
      </c>
      <c r="AY12" s="30">
        <v>1.7557919486179607</v>
      </c>
      <c r="AZ12" s="30">
        <v>1.9852764078449363</v>
      </c>
      <c r="BA12" s="30">
        <v>1.9828449363459113</v>
      </c>
      <c r="BB12" s="30">
        <v>1.8483025576327561</v>
      </c>
      <c r="BC12" s="30">
        <v>2.0881379745383644</v>
      </c>
      <c r="BD12" s="30">
        <v>0.58407214130060792</v>
      </c>
      <c r="BE12" s="30">
        <v>0.94236437664869821</v>
      </c>
      <c r="BF12" s="30">
        <v>1.6718660396834499</v>
      </c>
      <c r="BG12" s="30">
        <v>2.1555682991168714</v>
      </c>
      <c r="BH12" s="30">
        <v>2.0535640555109529</v>
      </c>
    </row>
    <row r="13" spans="1:60" x14ac:dyDescent="0.2">
      <c r="A13" s="7" t="s">
        <v>77</v>
      </c>
      <c r="B13" s="30">
        <v>5.0829498497512233</v>
      </c>
      <c r="C13" s="30">
        <v>4.4505800027667606</v>
      </c>
      <c r="D13" s="30">
        <v>4.2073255919084946</v>
      </c>
      <c r="E13" s="30">
        <v>3.587360657675434</v>
      </c>
      <c r="F13" s="30">
        <v>3.5291435104872098</v>
      </c>
      <c r="G13" s="30">
        <v>3.2984851081241464</v>
      </c>
      <c r="H13" s="30">
        <v>3.0709678178370465</v>
      </c>
      <c r="I13" s="30">
        <v>2.7454026859099274</v>
      </c>
      <c r="J13" s="30">
        <v>2.8480857414410536</v>
      </c>
      <c r="K13" s="30">
        <v>2.8293738225614584</v>
      </c>
      <c r="L13" s="30">
        <v>2.6378596346681107</v>
      </c>
      <c r="M13" s="30">
        <v>2.493793616335171</v>
      </c>
      <c r="N13" s="30">
        <v>2.625664997230464</v>
      </c>
      <c r="O13" s="30">
        <v>2.564359175884499</v>
      </c>
      <c r="P13" s="30">
        <v>2.4274854507588848</v>
      </c>
      <c r="Q13" s="30">
        <v>2.6047088546237993</v>
      </c>
      <c r="R13" s="30">
        <v>2.8033520595242098</v>
      </c>
      <c r="S13" s="30">
        <v>2.6792052887982312</v>
      </c>
      <c r="T13" s="30">
        <v>2.5400731055404857</v>
      </c>
      <c r="U13" s="30">
        <v>2.338619825195035</v>
      </c>
      <c r="V13" s="30">
        <v>2.3210345863672921</v>
      </c>
      <c r="W13" s="30">
        <v>1.8368526864077559</v>
      </c>
      <c r="X13" s="30">
        <v>1.6166223787161442</v>
      </c>
      <c r="Y13" s="30">
        <v>1.5771690389626336</v>
      </c>
      <c r="Z13" s="30">
        <v>1.6359386608940039</v>
      </c>
      <c r="AA13" s="30">
        <v>1.5510040354302772</v>
      </c>
      <c r="AB13" s="30">
        <v>1.4759472719122173</v>
      </c>
      <c r="AC13" s="30">
        <v>1.7449424454134241</v>
      </c>
      <c r="AD13" s="30">
        <v>1.6264122444602502</v>
      </c>
      <c r="AE13" s="30">
        <v>1.7664772436161611</v>
      </c>
      <c r="AF13" s="30">
        <v>1.831854185091047</v>
      </c>
      <c r="AG13" s="30">
        <v>2.0280379157969617</v>
      </c>
      <c r="AH13" s="30">
        <v>2.3177200400082869</v>
      </c>
      <c r="AI13" s="30">
        <v>2.0662501735697298</v>
      </c>
      <c r="AJ13" s="30">
        <v>2.2982551694077689</v>
      </c>
      <c r="AK13" s="30">
        <v>2.7044632852684409</v>
      </c>
      <c r="AL13" s="30">
        <v>2.6194259984064998</v>
      </c>
      <c r="AM13" s="30">
        <v>2.3907585686580983</v>
      </c>
      <c r="AN13" s="30">
        <v>2.7373666151976752</v>
      </c>
      <c r="AO13" s="30">
        <v>2.3569730714976753</v>
      </c>
      <c r="AP13" s="30">
        <v>2.564137340230876</v>
      </c>
      <c r="AQ13" s="30">
        <v>2.4679953680802584</v>
      </c>
      <c r="AR13" s="30">
        <v>2.6341441427455488</v>
      </c>
      <c r="AS13" s="30">
        <v>2.7504016941366416</v>
      </c>
      <c r="AT13" s="30">
        <v>2.7231965750326541</v>
      </c>
      <c r="AU13" s="30">
        <v>2.9083472288573398</v>
      </c>
      <c r="AV13" s="30">
        <v>2.7276796015589331</v>
      </c>
      <c r="AW13" s="30">
        <v>2.5745572190981303</v>
      </c>
      <c r="AX13" s="30">
        <v>2.8040914585395904</v>
      </c>
      <c r="AY13" s="30">
        <v>2.7781852739670443</v>
      </c>
      <c r="AZ13" s="30">
        <v>2.8480643529178482</v>
      </c>
      <c r="BA13" s="30">
        <v>2.7663410303833893</v>
      </c>
      <c r="BB13" s="30">
        <v>2.5521981860431309</v>
      </c>
      <c r="BC13" s="30">
        <v>2.6964132612342047</v>
      </c>
      <c r="BD13" s="30">
        <v>0.80772752259331049</v>
      </c>
      <c r="BE13" s="30">
        <v>1.1847710114083252</v>
      </c>
      <c r="BF13" s="30">
        <v>1.8567668438096059</v>
      </c>
      <c r="BG13" s="30">
        <v>2.2536503535684624</v>
      </c>
      <c r="BH13" s="30">
        <v>2.1864675825598767</v>
      </c>
    </row>
    <row r="14" spans="1:60" x14ac:dyDescent="0.2">
      <c r="A14" s="7" t="s">
        <v>78</v>
      </c>
      <c r="B14" s="30">
        <v>3.8224724874843683</v>
      </c>
      <c r="C14" s="30">
        <v>3.3780380739181388</v>
      </c>
      <c r="D14" s="30">
        <v>3.0622113007173666</v>
      </c>
      <c r="E14" s="30">
        <v>2.659782621188354</v>
      </c>
      <c r="F14" s="30">
        <v>2.680461637081343</v>
      </c>
      <c r="G14" s="30">
        <v>2.5893395327868216</v>
      </c>
      <c r="H14" s="30">
        <v>2.6111595397839609</v>
      </c>
      <c r="I14" s="30">
        <v>2.3418843766478785</v>
      </c>
      <c r="J14" s="30">
        <v>2.361001334485608</v>
      </c>
      <c r="K14" s="30">
        <v>2.3494362097819241</v>
      </c>
      <c r="L14" s="30">
        <v>2.1233005335617854</v>
      </c>
      <c r="M14" s="30">
        <v>1.9784003946772926</v>
      </c>
      <c r="N14" s="30">
        <v>2.0932752332309983</v>
      </c>
      <c r="O14" s="30">
        <v>1.9606897974004365</v>
      </c>
      <c r="P14" s="30">
        <v>1.876528310001657</v>
      </c>
      <c r="Q14" s="30">
        <v>2.1308806576818267</v>
      </c>
      <c r="R14" s="30">
        <v>2.2831534250148944</v>
      </c>
      <c r="S14" s="30">
        <v>2.2349638479463305</v>
      </c>
      <c r="T14" s="30">
        <v>2.0631897709606117</v>
      </c>
      <c r="U14" s="30">
        <v>1.8579559195242241</v>
      </c>
      <c r="V14" s="30">
        <v>1.7826535360621583</v>
      </c>
      <c r="W14" s="30">
        <v>1.3596408424813904</v>
      </c>
      <c r="X14" s="30">
        <v>1.2003161706532648</v>
      </c>
      <c r="Y14" s="30">
        <v>1.1624372195868058</v>
      </c>
      <c r="Z14" s="30">
        <v>1.2305593344421522</v>
      </c>
      <c r="AA14" s="30">
        <v>1.1617636522083612</v>
      </c>
      <c r="AB14" s="30">
        <v>1.1682307650355062</v>
      </c>
      <c r="AC14" s="30">
        <v>1.4892340295494348</v>
      </c>
      <c r="AD14" s="30">
        <v>1.292289046694409</v>
      </c>
      <c r="AE14" s="30">
        <v>1.3787431107631121</v>
      </c>
      <c r="AF14" s="30">
        <v>1.5553538846362629</v>
      </c>
      <c r="AG14" s="30">
        <v>1.8592723585693003</v>
      </c>
      <c r="AH14" s="30">
        <v>2.1759632291625031</v>
      </c>
      <c r="AI14" s="30">
        <v>1.9287982656528688</v>
      </c>
      <c r="AJ14" s="30">
        <v>2.1020573849988948</v>
      </c>
      <c r="AK14" s="30">
        <v>2.3012982323447133</v>
      </c>
      <c r="AL14" s="30">
        <v>2.2213321827500647</v>
      </c>
      <c r="AM14" s="30">
        <v>2.0333766334139409</v>
      </c>
      <c r="AN14" s="30">
        <v>2.312106597684187</v>
      </c>
      <c r="AO14" s="30">
        <v>2.028820660895045</v>
      </c>
      <c r="AP14" s="30">
        <v>2.2244308448346941</v>
      </c>
      <c r="AQ14" s="30">
        <v>2.1244060436140142</v>
      </c>
      <c r="AR14" s="30">
        <v>2.3759290192349072</v>
      </c>
      <c r="AS14" s="30">
        <v>2.3517181004564409</v>
      </c>
      <c r="AT14" s="30">
        <v>2.4436251829295332</v>
      </c>
      <c r="AU14" s="30">
        <v>2.6931716162347805</v>
      </c>
      <c r="AV14" s="30">
        <v>2.4812647308574816</v>
      </c>
      <c r="AW14" s="30">
        <v>2.2714122406342541</v>
      </c>
      <c r="AX14" s="30">
        <v>2.5819338710763566</v>
      </c>
      <c r="AY14" s="30">
        <v>2.6046634507203028</v>
      </c>
      <c r="AZ14" s="30">
        <v>2.7158460090565515</v>
      </c>
      <c r="BA14" s="30">
        <v>2.6708994630782095</v>
      </c>
      <c r="BB14" s="30">
        <v>2.6306342706880779</v>
      </c>
      <c r="BC14" s="30">
        <v>2.6742996940087806</v>
      </c>
      <c r="BD14" s="30">
        <v>0.80352686497788417</v>
      </c>
      <c r="BE14" s="30">
        <v>1.1976139911733934</v>
      </c>
      <c r="BF14" s="30">
        <v>1.8531736528913132</v>
      </c>
      <c r="BG14" s="30">
        <v>2.2642233358134556</v>
      </c>
      <c r="BH14" s="30">
        <v>2.2355848242808878</v>
      </c>
    </row>
    <row r="15" spans="1:60" x14ac:dyDescent="0.2">
      <c r="A15" s="7" t="s">
        <v>2</v>
      </c>
      <c r="B15" s="30">
        <v>7.329031939970359</v>
      </c>
      <c r="C15" s="30">
        <v>6.7508570727927193</v>
      </c>
      <c r="D15" s="30">
        <v>6.5492389089801506</v>
      </c>
      <c r="E15" s="30">
        <v>6.0954335836298368</v>
      </c>
      <c r="F15" s="30">
        <v>6.2108401773192163</v>
      </c>
      <c r="G15" s="30">
        <v>6.0451896069807525</v>
      </c>
      <c r="H15" s="30">
        <v>5.9797092998831305</v>
      </c>
      <c r="I15" s="30">
        <v>5.8598854185805331</v>
      </c>
      <c r="J15" s="30">
        <v>6.0046270890559512</v>
      </c>
      <c r="K15" s="30">
        <v>6.1336173826866558</v>
      </c>
      <c r="L15" s="30">
        <v>6.1183170835035252</v>
      </c>
      <c r="M15" s="30">
        <v>5.994264956499249</v>
      </c>
      <c r="N15" s="30">
        <v>6.0764885385681016</v>
      </c>
      <c r="O15" s="30">
        <v>5.9693333474965256</v>
      </c>
      <c r="P15" s="30">
        <v>5.9252932996818544</v>
      </c>
      <c r="Q15" s="30">
        <v>6.2888107773418183</v>
      </c>
      <c r="R15" s="30">
        <v>6.4166866291560485</v>
      </c>
      <c r="S15" s="30">
        <v>6.2735381575745759</v>
      </c>
      <c r="T15" s="30">
        <v>6.1187898333564812</v>
      </c>
      <c r="U15" s="30">
        <v>5.624944914945897</v>
      </c>
      <c r="V15" s="30">
        <v>5.2006844196981277</v>
      </c>
      <c r="W15" s="30">
        <v>4.2367860094689549</v>
      </c>
      <c r="X15" s="30">
        <v>4.0268841601955696</v>
      </c>
      <c r="Y15" s="30">
        <v>3.9186958458415009</v>
      </c>
      <c r="Z15" s="30">
        <v>3.8499999988746945</v>
      </c>
      <c r="AA15" s="30">
        <v>3.8035681133037671</v>
      </c>
      <c r="AB15" s="30">
        <v>3.8346556848734128</v>
      </c>
      <c r="AC15" s="30">
        <v>4.1449477203529952</v>
      </c>
      <c r="AD15" s="30">
        <v>3.9472131560892616</v>
      </c>
      <c r="AE15" s="30">
        <v>3.7696948989550867</v>
      </c>
      <c r="AF15" s="30">
        <v>3.9403709510518206</v>
      </c>
      <c r="AG15" s="30">
        <v>4.1633352997910613</v>
      </c>
      <c r="AH15" s="30">
        <v>4.4245950876053719</v>
      </c>
      <c r="AI15" s="30">
        <v>4.1476537048766664</v>
      </c>
      <c r="AJ15" s="30">
        <v>4.5944658930674924</v>
      </c>
      <c r="AK15" s="30">
        <v>5.064426158812295</v>
      </c>
      <c r="AL15" s="30">
        <v>5.0263439289825405</v>
      </c>
      <c r="AM15" s="30">
        <v>4.6388078186340778</v>
      </c>
      <c r="AN15" s="30">
        <v>5.053063725341425</v>
      </c>
      <c r="AO15" s="30">
        <v>4.3490618369356984</v>
      </c>
      <c r="AP15" s="30">
        <v>4.5181691427526829</v>
      </c>
      <c r="AQ15" s="30">
        <v>4.2104599097566409</v>
      </c>
      <c r="AR15" s="30">
        <v>4.434607154259429</v>
      </c>
      <c r="AS15" s="30">
        <v>4.7083750042592758</v>
      </c>
      <c r="AT15" s="30">
        <v>4.7133036527066308</v>
      </c>
      <c r="AU15" s="30">
        <v>4.8684687939199982</v>
      </c>
      <c r="AV15" s="30">
        <v>4.6511543970181357</v>
      </c>
      <c r="AW15" s="30">
        <v>4.4828032640830235</v>
      </c>
      <c r="AX15" s="30">
        <v>4.6242192202109464</v>
      </c>
      <c r="AY15" s="30">
        <v>4.3494803360330545</v>
      </c>
      <c r="AZ15" s="30">
        <v>4.4591731239443657</v>
      </c>
      <c r="BA15" s="30">
        <v>4.4001737138641817</v>
      </c>
      <c r="BB15" s="30">
        <v>4.1375830114720271</v>
      </c>
      <c r="BC15" s="30">
        <v>4.4282743577698156</v>
      </c>
      <c r="BD15" s="30">
        <v>1.4044178098617217</v>
      </c>
      <c r="BE15" s="30">
        <v>1.9708110000586205</v>
      </c>
      <c r="BF15" s="30">
        <v>3.0831848306148522</v>
      </c>
      <c r="BG15" s="30">
        <v>3.517611682253329</v>
      </c>
      <c r="BH15" s="30">
        <v>3.4478822879845463</v>
      </c>
    </row>
    <row r="16" spans="1:60" x14ac:dyDescent="0.2">
      <c r="A16" s="7" t="s">
        <v>75</v>
      </c>
      <c r="B16" s="30">
        <v>3.6982114363631089</v>
      </c>
      <c r="C16" s="30">
        <v>3.4658464852476136</v>
      </c>
      <c r="D16" s="30">
        <v>3.3367932054889899</v>
      </c>
      <c r="E16" s="30">
        <v>2.9537794830137223</v>
      </c>
      <c r="F16" s="30">
        <v>2.9994549450230643</v>
      </c>
      <c r="G16" s="30">
        <v>2.8993124256578375</v>
      </c>
      <c r="H16" s="30">
        <v>2.8400029360610675</v>
      </c>
      <c r="I16" s="30">
        <v>2.6980381805105509</v>
      </c>
      <c r="J16" s="30">
        <v>2.7182894204966699</v>
      </c>
      <c r="K16" s="30">
        <v>2.6656322680003459</v>
      </c>
      <c r="L16" s="30">
        <v>2.5622922228497917</v>
      </c>
      <c r="M16" s="30">
        <v>2.3767097300443476</v>
      </c>
      <c r="N16" s="30">
        <v>2.5471087896777465</v>
      </c>
      <c r="O16" s="30">
        <v>2.3780885135784664</v>
      </c>
      <c r="P16" s="30">
        <v>2.341585003164977</v>
      </c>
      <c r="Q16" s="30">
        <v>2.6192191770660749</v>
      </c>
      <c r="R16" s="30">
        <v>2.7362714342784136</v>
      </c>
      <c r="S16" s="30">
        <v>2.7554039944237863</v>
      </c>
      <c r="T16" s="30">
        <v>2.6047956635657763</v>
      </c>
      <c r="U16" s="30">
        <v>2.4401110852029095</v>
      </c>
      <c r="V16" s="30">
        <v>2.3418541010484173</v>
      </c>
      <c r="W16" s="30">
        <v>1.7447335524433638</v>
      </c>
      <c r="X16" s="30">
        <v>1.5820831620811266</v>
      </c>
      <c r="Y16" s="30">
        <v>1.5085024673772369</v>
      </c>
      <c r="Z16" s="30">
        <v>1.5520990559584158</v>
      </c>
      <c r="AA16" s="30">
        <v>1.5066549847574269</v>
      </c>
      <c r="AB16" s="30">
        <v>1.4477755776210499</v>
      </c>
      <c r="AC16" s="30">
        <v>1.7650699282258799</v>
      </c>
      <c r="AD16" s="30">
        <v>1.6050764487872236</v>
      </c>
      <c r="AE16" s="30">
        <v>1.6665088676096098</v>
      </c>
      <c r="AF16" s="30">
        <v>1.7754461128190395</v>
      </c>
      <c r="AG16" s="30">
        <v>1.9123743709766314</v>
      </c>
      <c r="AH16" s="30">
        <v>2.3282915701890934</v>
      </c>
      <c r="AI16" s="30">
        <v>2.0867597119022228</v>
      </c>
      <c r="AJ16" s="30">
        <v>2.2710429882728027</v>
      </c>
      <c r="AK16" s="30">
        <v>2.5109626106792282</v>
      </c>
      <c r="AL16" s="30">
        <v>2.4544185037089545</v>
      </c>
      <c r="AM16" s="30">
        <v>2.1779727820877839</v>
      </c>
      <c r="AN16" s="30">
        <v>2.626244549930107</v>
      </c>
      <c r="AO16" s="30">
        <v>2.1971484379830604</v>
      </c>
      <c r="AP16" s="30">
        <v>2.5201618578258667</v>
      </c>
      <c r="AQ16" s="30">
        <v>2.2992317553677308</v>
      </c>
      <c r="AR16" s="30">
        <v>2.4952601555686549</v>
      </c>
      <c r="AS16" s="30">
        <v>2.5761831797648864</v>
      </c>
      <c r="AT16" s="30">
        <v>2.6713219095760876</v>
      </c>
      <c r="AU16" s="30">
        <v>2.8993370459857362</v>
      </c>
      <c r="AV16" s="30">
        <v>2.6436289459690712</v>
      </c>
      <c r="AW16" s="30">
        <v>2.4113603748063341</v>
      </c>
      <c r="AX16" s="30">
        <v>2.6987560631908591</v>
      </c>
      <c r="AY16" s="30">
        <v>2.6808042483704391</v>
      </c>
      <c r="AZ16" s="30">
        <v>2.698308813613818</v>
      </c>
      <c r="BA16" s="30">
        <v>2.6707948676123587</v>
      </c>
      <c r="BB16" s="30">
        <v>2.5865279240965351</v>
      </c>
      <c r="BC16" s="30">
        <v>2.7272902328818831</v>
      </c>
      <c r="BD16" s="30">
        <v>0.8501749249333248</v>
      </c>
      <c r="BE16" s="30">
        <v>1.2784486357857372</v>
      </c>
      <c r="BF16" s="30">
        <v>1.927436332447471</v>
      </c>
      <c r="BG16" s="30">
        <v>2.3901950761914241</v>
      </c>
      <c r="BH16" s="30">
        <v>2.4178509407551836</v>
      </c>
    </row>
    <row r="17" spans="1:60" x14ac:dyDescent="0.2">
      <c r="A17" s="7" t="s">
        <v>79</v>
      </c>
      <c r="B17" s="30">
        <v>3.3479047978456253</v>
      </c>
      <c r="C17" s="30">
        <v>2.9893822849928213</v>
      </c>
      <c r="D17" s="30">
        <v>2.8867212815066083</v>
      </c>
      <c r="E17" s="30">
        <v>2.5944592628386389</v>
      </c>
      <c r="F17" s="30">
        <v>2.5950342046549117</v>
      </c>
      <c r="G17" s="30">
        <v>2.4675647504433935</v>
      </c>
      <c r="H17" s="30">
        <v>2.4935290075749554</v>
      </c>
      <c r="I17" s="30">
        <v>2.4212752662859467</v>
      </c>
      <c r="J17" s="30">
        <v>2.486805585829083</v>
      </c>
      <c r="K17" s="30">
        <v>2.4974821420786806</v>
      </c>
      <c r="L17" s="30">
        <v>2.4536856549150023</v>
      </c>
      <c r="M17" s="30">
        <v>2.3375374440285728</v>
      </c>
      <c r="N17" s="30">
        <v>2.5047988557644603</v>
      </c>
      <c r="O17" s="30">
        <v>2.4922035330225536</v>
      </c>
      <c r="P17" s="30">
        <v>2.3767774092605554</v>
      </c>
      <c r="Q17" s="30">
        <v>2.6425114678228843</v>
      </c>
      <c r="R17" s="30">
        <v>2.8859543882850351</v>
      </c>
      <c r="S17" s="30">
        <v>2.948671755952879</v>
      </c>
      <c r="T17" s="30">
        <v>2.8285684170686105</v>
      </c>
      <c r="U17" s="30">
        <v>2.6017234836385139</v>
      </c>
      <c r="V17" s="30">
        <v>2.5710120281898545</v>
      </c>
      <c r="W17" s="30">
        <v>1.8969599009449185</v>
      </c>
      <c r="X17" s="30">
        <v>1.6786813433235372</v>
      </c>
      <c r="Y17" s="30">
        <v>1.5897025561219889</v>
      </c>
      <c r="Z17" s="30">
        <v>1.6334168950008621</v>
      </c>
      <c r="AA17" s="30">
        <v>1.5613285960208338</v>
      </c>
      <c r="AB17" s="30">
        <v>1.5523060229056462</v>
      </c>
      <c r="AC17" s="30">
        <v>1.8070774132776248</v>
      </c>
      <c r="AD17" s="30">
        <v>1.7001228645609368</v>
      </c>
      <c r="AE17" s="30">
        <v>1.8001970199449895</v>
      </c>
      <c r="AF17" s="30">
        <v>1.8929005891584652</v>
      </c>
      <c r="AG17" s="30">
        <v>2.078266467859434</v>
      </c>
      <c r="AH17" s="30">
        <v>2.5089518394422448</v>
      </c>
      <c r="AI17" s="30">
        <v>2.258417269305844</v>
      </c>
      <c r="AJ17" s="30">
        <v>2.4555368460761242</v>
      </c>
      <c r="AK17" s="30">
        <v>2.7621025043702985</v>
      </c>
      <c r="AL17" s="30">
        <v>2.7526994698600555</v>
      </c>
      <c r="AM17" s="30">
        <v>2.3859438715610781</v>
      </c>
      <c r="AN17" s="30">
        <v>2.7573547204475264</v>
      </c>
      <c r="AO17" s="30">
        <v>2.1770711929460194</v>
      </c>
      <c r="AP17" s="30">
        <v>2.4057377188631826</v>
      </c>
      <c r="AQ17" s="30">
        <v>2.2863598338291702</v>
      </c>
      <c r="AR17" s="30">
        <v>2.3889490467893801</v>
      </c>
      <c r="AS17" s="30">
        <v>2.5528824131875045</v>
      </c>
      <c r="AT17" s="30">
        <v>2.6646476728290214</v>
      </c>
      <c r="AU17" s="30">
        <v>2.7864961815351017</v>
      </c>
      <c r="AV17" s="30">
        <v>2.5866162776962862</v>
      </c>
      <c r="AW17" s="30">
        <v>2.4597453449370117</v>
      </c>
      <c r="AX17" s="30">
        <v>2.6930122084261425</v>
      </c>
      <c r="AY17" s="30">
        <v>2.7177273567615905</v>
      </c>
      <c r="AZ17" s="30">
        <v>2.8819293678375932</v>
      </c>
      <c r="BA17" s="30">
        <v>2.8782997481577666</v>
      </c>
      <c r="BB17" s="30">
        <v>2.790860766389148</v>
      </c>
      <c r="BC17" s="30">
        <v>2.9706034994128867</v>
      </c>
      <c r="BD17" s="30">
        <v>0.90056339228555538</v>
      </c>
      <c r="BE17" s="30">
        <v>1.3830307624080869</v>
      </c>
      <c r="BF17" s="30">
        <v>2.2013427048954415</v>
      </c>
      <c r="BG17" s="30">
        <v>2.6110765538494043</v>
      </c>
      <c r="BH17" s="30">
        <v>2.6790912939842872</v>
      </c>
    </row>
    <row r="18" spans="1:60" x14ac:dyDescent="0.2">
      <c r="A18" s="7" t="s">
        <v>80</v>
      </c>
      <c r="B18" s="30">
        <v>4.2530899118885692</v>
      </c>
      <c r="C18" s="30">
        <v>3.7387800256092474</v>
      </c>
      <c r="D18" s="30">
        <v>3.6763628805675963</v>
      </c>
      <c r="E18" s="30">
        <v>3.2836568401970636</v>
      </c>
      <c r="F18" s="30">
        <v>3.2205167374723302</v>
      </c>
      <c r="G18" s="30">
        <v>3.0628528722024568</v>
      </c>
      <c r="H18" s="30">
        <v>3.1216319288279908</v>
      </c>
      <c r="I18" s="30">
        <v>3.0217042591075156</v>
      </c>
      <c r="J18" s="30">
        <v>3.0461442539322658</v>
      </c>
      <c r="K18" s="30">
        <v>3.1962693840836418</v>
      </c>
      <c r="L18" s="30">
        <v>3.0938107706809768</v>
      </c>
      <c r="M18" s="30">
        <v>3.0214373640726753</v>
      </c>
      <c r="N18" s="30">
        <v>3.1726207096253489</v>
      </c>
      <c r="O18" s="30">
        <v>3.018643253392125</v>
      </c>
      <c r="P18" s="30">
        <v>2.8784284331016763</v>
      </c>
      <c r="Q18" s="30">
        <v>3.1993580180595051</v>
      </c>
      <c r="R18" s="30">
        <v>3.5303126910205553</v>
      </c>
      <c r="S18" s="30">
        <v>3.4727140035838659</v>
      </c>
      <c r="T18" s="30">
        <v>3.3438321777924958</v>
      </c>
      <c r="U18" s="30">
        <v>3.0316352970589389</v>
      </c>
      <c r="V18" s="30">
        <v>2.9326349365085598</v>
      </c>
      <c r="W18" s="30">
        <v>2.1345044044029446</v>
      </c>
      <c r="X18" s="30">
        <v>1.8931070768196738</v>
      </c>
      <c r="Y18" s="30">
        <v>1.8340664413241472</v>
      </c>
      <c r="Z18" s="30">
        <v>1.8877617506409483</v>
      </c>
      <c r="AA18" s="30">
        <v>1.8042113792792263</v>
      </c>
      <c r="AB18" s="30">
        <v>1.7570786387331354</v>
      </c>
      <c r="AC18" s="30">
        <v>2.0664017539413524</v>
      </c>
      <c r="AD18" s="30">
        <v>1.9472807837298445</v>
      </c>
      <c r="AE18" s="30">
        <v>1.961186713936627</v>
      </c>
      <c r="AF18" s="30">
        <v>2.0229967600753818</v>
      </c>
      <c r="AG18" s="30">
        <v>2.2469422889072037</v>
      </c>
      <c r="AH18" s="30">
        <v>2.7039129748614443</v>
      </c>
      <c r="AI18" s="30">
        <v>2.4708686319389934</v>
      </c>
      <c r="AJ18" s="30">
        <v>2.5982565677841536</v>
      </c>
      <c r="AK18" s="30">
        <v>2.9488919168986669</v>
      </c>
      <c r="AL18" s="30">
        <v>3.0043250569642908</v>
      </c>
      <c r="AM18" s="30">
        <v>2.5222191217190999</v>
      </c>
      <c r="AN18" s="30">
        <v>2.900217587534923</v>
      </c>
      <c r="AO18" s="30">
        <v>2.2719346395817444</v>
      </c>
      <c r="AP18" s="30">
        <v>2.389978832353453</v>
      </c>
      <c r="AQ18" s="30">
        <v>2.3258853240657298</v>
      </c>
      <c r="AR18" s="30">
        <v>2.4674451698585966</v>
      </c>
      <c r="AS18" s="30">
        <v>2.6854878374183047</v>
      </c>
      <c r="AT18" s="30">
        <v>2.7982392165461558</v>
      </c>
      <c r="AU18" s="30">
        <v>2.9129927234267479</v>
      </c>
      <c r="AV18" s="30">
        <v>2.690586145531793</v>
      </c>
      <c r="AW18" s="30">
        <v>2.58332700561688</v>
      </c>
      <c r="AX18" s="30">
        <v>2.811996464788185</v>
      </c>
      <c r="AY18" s="30">
        <v>2.7802412229379421</v>
      </c>
      <c r="AZ18" s="30">
        <v>2.8992535153266585</v>
      </c>
      <c r="BA18" s="30">
        <v>2.82581078547926</v>
      </c>
      <c r="BB18" s="30">
        <v>2.764617312009011</v>
      </c>
      <c r="BC18" s="30">
        <v>2.8928796051767334</v>
      </c>
      <c r="BD18" s="30">
        <v>0.86458298653893806</v>
      </c>
      <c r="BE18" s="30">
        <v>1.2806399920754576</v>
      </c>
      <c r="BF18" s="30">
        <v>2.1428951442989952</v>
      </c>
      <c r="BG18" s="30">
        <v>2.5274355298627489</v>
      </c>
      <c r="BH18" s="30">
        <v>2.6092211693521605</v>
      </c>
    </row>
    <row r="19" spans="1:60" x14ac:dyDescent="0.2">
      <c r="A19" s="7" t="s">
        <v>3</v>
      </c>
      <c r="B19" s="30">
        <v>3.6943629920022176</v>
      </c>
      <c r="C19" s="30">
        <v>3.3597805778318413</v>
      </c>
      <c r="D19" s="30">
        <v>3.276620753041271</v>
      </c>
      <c r="E19" s="30">
        <v>2.8969343769914122</v>
      </c>
      <c r="F19" s="30">
        <v>2.8275288950764352</v>
      </c>
      <c r="G19" s="30">
        <v>2.6504739125485974</v>
      </c>
      <c r="H19" s="30">
        <v>2.5808660349968542</v>
      </c>
      <c r="I19" s="30">
        <v>2.414929297623595</v>
      </c>
      <c r="J19" s="30">
        <v>2.4250139944773763</v>
      </c>
      <c r="K19" s="30">
        <v>2.4586856647042477</v>
      </c>
      <c r="L19" s="30">
        <v>2.4775139736979717</v>
      </c>
      <c r="M19" s="30">
        <v>2.3611424408320003</v>
      </c>
      <c r="N19" s="30">
        <v>2.5532442432917759</v>
      </c>
      <c r="O19" s="30">
        <v>2.4853088215320924</v>
      </c>
      <c r="P19" s="30">
        <v>2.4062898623326934</v>
      </c>
      <c r="Q19" s="30">
        <v>2.6754236114002263</v>
      </c>
      <c r="R19" s="30">
        <v>2.9386383692590563</v>
      </c>
      <c r="S19" s="30">
        <v>2.8904466219264413</v>
      </c>
      <c r="T19" s="30">
        <v>2.7500728569975821</v>
      </c>
      <c r="U19" s="30">
        <v>2.5420454832415253</v>
      </c>
      <c r="V19" s="30">
        <v>2.5294932633724154</v>
      </c>
      <c r="W19" s="30">
        <v>1.9744501345195058</v>
      </c>
      <c r="X19" s="30">
        <v>1.7824555003794214</v>
      </c>
      <c r="Y19" s="30">
        <v>1.7188653809937862</v>
      </c>
      <c r="Z19" s="30">
        <v>1.7145481972203391</v>
      </c>
      <c r="AA19" s="30">
        <v>1.6514841408707035</v>
      </c>
      <c r="AB19" s="30">
        <v>1.5378806006448931</v>
      </c>
      <c r="AC19" s="30">
        <v>1.7950061978770311</v>
      </c>
      <c r="AD19" s="30">
        <v>1.6436554137279054</v>
      </c>
      <c r="AE19" s="30">
        <v>1.6868259167036255</v>
      </c>
      <c r="AF19" s="30">
        <v>1.8789104241043233</v>
      </c>
      <c r="AG19" s="30">
        <v>2.1946158064667305</v>
      </c>
      <c r="AH19" s="30">
        <v>2.6108509429213167</v>
      </c>
      <c r="AI19" s="30">
        <v>2.3088011058760216</v>
      </c>
      <c r="AJ19" s="30">
        <v>2.4033824933792376</v>
      </c>
      <c r="AK19" s="30">
        <v>2.8303365454595677</v>
      </c>
      <c r="AL19" s="30">
        <v>2.7568453856087767</v>
      </c>
      <c r="AM19" s="30">
        <v>2.4123444459934111</v>
      </c>
      <c r="AN19" s="30">
        <v>2.7544845723407825</v>
      </c>
      <c r="AO19" s="30">
        <v>2.1343496532874346</v>
      </c>
      <c r="AP19" s="30">
        <v>2.3764157450993486</v>
      </c>
      <c r="AQ19" s="30">
        <v>2.2911572363534027</v>
      </c>
      <c r="AR19" s="30">
        <v>2.44626885684526</v>
      </c>
      <c r="AS19" s="30">
        <v>2.603058340806649</v>
      </c>
      <c r="AT19" s="30">
        <v>2.774153764894161</v>
      </c>
      <c r="AU19" s="30">
        <v>2.952577796834237</v>
      </c>
      <c r="AV19" s="30">
        <v>2.7277695836135294</v>
      </c>
      <c r="AW19" s="30">
        <v>2.5514983254504511</v>
      </c>
      <c r="AX19" s="30">
        <v>2.8371391586618491</v>
      </c>
      <c r="AY19" s="30">
        <v>2.8865905008761494</v>
      </c>
      <c r="AZ19" s="30">
        <v>2.9859125237136506</v>
      </c>
      <c r="BA19" s="30">
        <v>2.9804705563256881</v>
      </c>
      <c r="BB19" s="30">
        <v>2.8700785093271568</v>
      </c>
      <c r="BC19" s="30">
        <v>3.0725748601907901</v>
      </c>
      <c r="BD19" s="30">
        <v>0.98107878820631755</v>
      </c>
      <c r="BE19" s="30">
        <v>1.4306075232114643</v>
      </c>
      <c r="BF19" s="30">
        <v>2.2820661325986284</v>
      </c>
      <c r="BG19" s="30">
        <v>2.7478539815225989</v>
      </c>
      <c r="BH19" s="30">
        <v>2.908508006686982</v>
      </c>
    </row>
    <row r="20" spans="1:60" x14ac:dyDescent="0.2">
      <c r="A20" s="7" t="s">
        <v>4</v>
      </c>
      <c r="B20" s="30">
        <v>7.2443313338401785</v>
      </c>
      <c r="C20" s="30">
        <v>6.2826157468876902</v>
      </c>
      <c r="D20" s="30">
        <v>6.133159393192023</v>
      </c>
      <c r="E20" s="30">
        <v>5.6195191273527998</v>
      </c>
      <c r="F20" s="30">
        <v>5.5141264979526108</v>
      </c>
      <c r="G20" s="30">
        <v>5.257437471884022</v>
      </c>
      <c r="H20" s="30">
        <v>4.9773038280831292</v>
      </c>
      <c r="I20" s="30">
        <v>4.6576388907781583</v>
      </c>
      <c r="J20" s="30">
        <v>4.679279218005675</v>
      </c>
      <c r="K20" s="30">
        <v>4.8201168203322879</v>
      </c>
      <c r="L20" s="30">
        <v>4.6591572286321359</v>
      </c>
      <c r="M20" s="30">
        <v>4.3463638515342531</v>
      </c>
      <c r="N20" s="30">
        <v>4.5842722397999855</v>
      </c>
      <c r="O20" s="30">
        <v>4.2025893212690679</v>
      </c>
      <c r="P20" s="30">
        <v>4.1284005458476463</v>
      </c>
      <c r="Q20" s="30">
        <v>4.3874723879623998</v>
      </c>
      <c r="R20" s="30">
        <v>4.6651485457639179</v>
      </c>
      <c r="S20" s="30">
        <v>4.4469365927495881</v>
      </c>
      <c r="T20" s="30">
        <v>4.2026026875254239</v>
      </c>
      <c r="U20" s="30">
        <v>3.8325904132669928</v>
      </c>
      <c r="V20" s="30">
        <v>3.7430206074887855</v>
      </c>
      <c r="W20" s="30">
        <v>2.7932442223462313</v>
      </c>
      <c r="X20" s="30">
        <v>2.4729961025843243</v>
      </c>
      <c r="Y20" s="30">
        <v>2.4028590464662418</v>
      </c>
      <c r="Z20" s="30">
        <v>2.4822416162680856</v>
      </c>
      <c r="AA20" s="30">
        <v>2.3093632077662334</v>
      </c>
      <c r="AB20" s="30">
        <v>2.3080285689659261</v>
      </c>
      <c r="AC20" s="30">
        <v>2.6352562420926526</v>
      </c>
      <c r="AD20" s="30">
        <v>2.5410428175157418</v>
      </c>
      <c r="AE20" s="30">
        <v>2.6779779461451692</v>
      </c>
      <c r="AF20" s="30">
        <v>2.6725380485474188</v>
      </c>
      <c r="AG20" s="30">
        <v>2.9825875786230864</v>
      </c>
      <c r="AH20" s="30">
        <v>3.4693324746551992</v>
      </c>
      <c r="AI20" s="30">
        <v>3.0269098838454371</v>
      </c>
      <c r="AJ20" s="30">
        <v>3.2009005024465447</v>
      </c>
      <c r="AK20" s="30">
        <v>3.5193212566556249</v>
      </c>
      <c r="AL20" s="30">
        <v>3.4534790334367402</v>
      </c>
      <c r="AM20" s="30">
        <v>3.0499153519498128</v>
      </c>
      <c r="AN20" s="30">
        <v>3.3937939023498762</v>
      </c>
      <c r="AO20" s="30">
        <v>2.7980529312331539</v>
      </c>
      <c r="AP20" s="30">
        <v>2.9265443559126205</v>
      </c>
      <c r="AQ20" s="30">
        <v>2.7726916753929332</v>
      </c>
      <c r="AR20" s="30">
        <v>2.93878238913776</v>
      </c>
      <c r="AS20" s="30">
        <v>3.1463612338071223</v>
      </c>
      <c r="AT20" s="30">
        <v>3.3637397821506392</v>
      </c>
      <c r="AU20" s="30">
        <v>3.4170973750848952</v>
      </c>
      <c r="AV20" s="30">
        <v>3.2102813781277821</v>
      </c>
      <c r="AW20" s="30">
        <v>3.0510626717953535</v>
      </c>
      <c r="AX20" s="30">
        <v>3.323781598652038</v>
      </c>
      <c r="AY20" s="30">
        <v>3.2483275138895493</v>
      </c>
      <c r="AZ20" s="30">
        <v>3.4700054155036475</v>
      </c>
      <c r="BA20" s="30">
        <v>3.3701119861214672</v>
      </c>
      <c r="BB20" s="30">
        <v>3.3385723789213602</v>
      </c>
      <c r="BC20" s="30">
        <v>3.5174424829832969</v>
      </c>
      <c r="BD20" s="30">
        <v>0.99197299437924069</v>
      </c>
      <c r="BE20" s="30">
        <v>1.4944577094004408</v>
      </c>
      <c r="BF20" s="30">
        <v>2.5606957743223178</v>
      </c>
      <c r="BG20" s="30">
        <v>3.0078178844592052</v>
      </c>
      <c r="BH20" s="30">
        <v>3.0050581422541871</v>
      </c>
    </row>
    <row r="21" spans="1:60" s="2" customFormat="1" x14ac:dyDescent="0.2">
      <c r="A21" s="9" t="s">
        <v>0</v>
      </c>
      <c r="B21" s="31">
        <v>4.7069736365015427</v>
      </c>
      <c r="C21" s="31">
        <v>4.2502250071421184</v>
      </c>
      <c r="D21" s="31">
        <v>4.0851399850249175</v>
      </c>
      <c r="E21" s="31">
        <v>3.695961175818371</v>
      </c>
      <c r="F21" s="31">
        <v>3.7069812142930494</v>
      </c>
      <c r="G21" s="31">
        <v>3.5573643942652158</v>
      </c>
      <c r="H21" s="31">
        <v>3.5020531140433029</v>
      </c>
      <c r="I21" s="31">
        <v>3.3416627628598348</v>
      </c>
      <c r="J21" s="31">
        <v>3.4069930327042188</v>
      </c>
      <c r="K21" s="31">
        <v>3.4501584600249768</v>
      </c>
      <c r="L21" s="31">
        <v>3.3670338957670185</v>
      </c>
      <c r="M21" s="31">
        <v>3.2333091011491653</v>
      </c>
      <c r="N21" s="31">
        <v>3.3906616901778484</v>
      </c>
      <c r="O21" s="31">
        <v>3.277779384071787</v>
      </c>
      <c r="P21" s="31">
        <v>3.2286192231872604</v>
      </c>
      <c r="Q21" s="31">
        <v>3.4826030782331294</v>
      </c>
      <c r="R21" s="31">
        <v>3.7164513742933152</v>
      </c>
      <c r="S21" s="31">
        <v>3.6600052478269434</v>
      </c>
      <c r="T21" s="31">
        <v>3.5128357441025302</v>
      </c>
      <c r="U21" s="31">
        <v>3.2222632128822024</v>
      </c>
      <c r="V21" s="31">
        <v>3.0943029201265611</v>
      </c>
      <c r="W21" s="31">
        <v>2.4188809531963278</v>
      </c>
      <c r="X21" s="31">
        <v>2.2034859338623281</v>
      </c>
      <c r="Y21" s="31">
        <v>2.1357372690443541</v>
      </c>
      <c r="Z21" s="31">
        <v>2.1535916960344417</v>
      </c>
      <c r="AA21" s="31">
        <v>2.0754065394527164</v>
      </c>
      <c r="AB21" s="31">
        <v>2.048857966457458</v>
      </c>
      <c r="AC21" s="31">
        <v>2.344342004440453</v>
      </c>
      <c r="AD21" s="31">
        <v>2.1976491955867203</v>
      </c>
      <c r="AE21" s="31">
        <v>2.2255341997405687</v>
      </c>
      <c r="AF21" s="31">
        <v>2.336696967611132</v>
      </c>
      <c r="AG21" s="31">
        <v>2.5506190768127848</v>
      </c>
      <c r="AH21" s="31">
        <v>2.9153498477103441</v>
      </c>
      <c r="AI21" s="31">
        <v>2.6249393784022859</v>
      </c>
      <c r="AJ21" s="31">
        <v>2.8325540389209967</v>
      </c>
      <c r="AK21" s="31">
        <v>3.2033210109006434</v>
      </c>
      <c r="AL21" s="31">
        <v>3.151291514302391</v>
      </c>
      <c r="AM21" s="31">
        <v>2.8250581223400348</v>
      </c>
      <c r="AN21" s="31">
        <v>3.18968697176417</v>
      </c>
      <c r="AO21" s="31">
        <v>2.6421058679069258</v>
      </c>
      <c r="AP21" s="31">
        <v>2.8396371048491607</v>
      </c>
      <c r="AQ21" s="31">
        <v>2.6850277047265019</v>
      </c>
      <c r="AR21" s="31">
        <v>2.8629071405155133</v>
      </c>
      <c r="AS21" s="31">
        <v>3.0331296863536847</v>
      </c>
      <c r="AT21" s="31">
        <v>3.1155271479963491</v>
      </c>
      <c r="AU21" s="31">
        <v>3.2674355614333552</v>
      </c>
      <c r="AV21" s="31">
        <v>3.0626178357999874</v>
      </c>
      <c r="AW21" s="31">
        <v>2.9145384916439929</v>
      </c>
      <c r="AX21" s="31">
        <v>3.1452786942282995</v>
      </c>
      <c r="AY21" s="31">
        <v>3.0893155348171768</v>
      </c>
      <c r="AZ21" s="31">
        <v>3.2073447191028004</v>
      </c>
      <c r="BA21" s="31">
        <v>3.1503080098136627</v>
      </c>
      <c r="BB21" s="31">
        <v>3.0269484141253971</v>
      </c>
      <c r="BC21" s="31">
        <v>3.2076316138483074</v>
      </c>
      <c r="BD21" s="31">
        <v>0.98179517372965397</v>
      </c>
      <c r="BE21" s="31">
        <v>1.4366937431762647</v>
      </c>
      <c r="BF21" s="31">
        <v>2.287681791770888</v>
      </c>
      <c r="BG21" s="31">
        <v>2.7143283669296996</v>
      </c>
      <c r="BH21" s="31">
        <v>2.7307615643659968</v>
      </c>
    </row>
  </sheetData>
  <phoneticPr fontId="1" type="noConversion"/>
  <hyperlinks>
    <hyperlink ref="A2" location="Sommaire!A1" display="Retour au menu &quot;Exploitation des films&quot;" xr:uid="{00000000-0004-0000-0B00-000000000000}"/>
  </hyperlinks>
  <pageMargins left="0.78740157499999996" right="0.78740157499999996" top="0.984251969" bottom="0.984251969" header="0.4921259845" footer="0.492125984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dimension ref="A1:BH21"/>
  <sheetViews>
    <sheetView workbookViewId="0"/>
  </sheetViews>
  <sheetFormatPr baseColWidth="10" defaultColWidth="5.5703125" defaultRowHeight="12" x14ac:dyDescent="0.2"/>
  <cols>
    <col min="1" max="1" width="40.42578125" style="1" bestFit="1" customWidth="1"/>
    <col min="2" max="27" width="5" style="1" hidden="1" customWidth="1"/>
    <col min="28" max="38" width="5" style="1" bestFit="1" customWidth="1"/>
    <col min="39" max="51" width="5" style="4" bestFit="1" customWidth="1"/>
    <col min="52" max="55" width="5" style="1" bestFit="1" customWidth="1"/>
    <col min="56" max="16384" width="5.5703125" style="1"/>
  </cols>
  <sheetData>
    <row r="1" spans="1:60" s="36" customFormat="1" ht="12.75" x14ac:dyDescent="0.2">
      <c r="AM1" s="37"/>
      <c r="AN1" s="37"/>
      <c r="AO1" s="37"/>
      <c r="AP1" s="37"/>
      <c r="AQ1" s="37"/>
      <c r="AR1" s="37"/>
      <c r="AS1" s="37"/>
      <c r="AT1" s="37"/>
      <c r="AU1" s="37"/>
      <c r="AV1" s="37"/>
      <c r="AW1" s="37"/>
      <c r="AX1" s="37"/>
      <c r="AY1" s="37"/>
      <c r="AZ1" s="37"/>
      <c r="BA1" s="37"/>
      <c r="BB1" s="37"/>
      <c r="BC1" s="37"/>
      <c r="BD1" s="37"/>
      <c r="BE1" s="37"/>
    </row>
    <row r="2" spans="1:60" s="40" customFormat="1" ht="12.75" x14ac:dyDescent="0.2">
      <c r="A2" s="38" t="s">
        <v>32</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9"/>
      <c r="AN2" s="39"/>
      <c r="AO2" s="39"/>
      <c r="AP2" s="39"/>
      <c r="AQ2" s="39"/>
      <c r="AR2" s="39"/>
      <c r="AS2" s="39"/>
      <c r="AT2" s="39"/>
      <c r="AU2" s="39"/>
      <c r="AV2" s="39"/>
      <c r="AW2" s="39"/>
      <c r="AX2" s="39"/>
      <c r="AY2" s="39"/>
      <c r="AZ2" s="39"/>
      <c r="BA2" s="39"/>
      <c r="BB2" s="39"/>
      <c r="BC2" s="39"/>
      <c r="BD2" s="39"/>
      <c r="BE2" s="39"/>
    </row>
    <row r="3" spans="1:60" s="36" customFormat="1" ht="12.75" x14ac:dyDescent="0.2">
      <c r="AM3" s="37"/>
      <c r="AN3" s="37"/>
      <c r="AO3" s="37"/>
      <c r="AP3" s="37"/>
      <c r="AQ3" s="37"/>
      <c r="AR3" s="37"/>
      <c r="AS3" s="37"/>
      <c r="AT3" s="37"/>
      <c r="AU3" s="37"/>
      <c r="AV3" s="37"/>
      <c r="AW3" s="37"/>
      <c r="AX3" s="37"/>
      <c r="AY3" s="37"/>
      <c r="AZ3" s="37"/>
      <c r="BA3" s="37"/>
      <c r="BB3" s="37"/>
      <c r="BC3" s="37"/>
      <c r="BD3" s="37"/>
      <c r="BE3" s="37"/>
    </row>
    <row r="4" spans="1:60" s="36" customFormat="1" ht="12.75" x14ac:dyDescent="0.2">
      <c r="AM4" s="37"/>
      <c r="AN4" s="37"/>
      <c r="AO4" s="37"/>
      <c r="AP4" s="37"/>
      <c r="AQ4" s="37"/>
      <c r="AR4" s="37"/>
      <c r="AS4" s="37"/>
      <c r="AT4" s="37"/>
      <c r="AU4" s="37"/>
      <c r="AV4" s="37"/>
      <c r="AW4" s="37"/>
      <c r="AX4" s="37"/>
      <c r="AY4" s="37"/>
      <c r="AZ4" s="37"/>
      <c r="BA4" s="37"/>
      <c r="BB4" s="37"/>
      <c r="BC4" s="37"/>
      <c r="BD4" s="37"/>
      <c r="BE4" s="37"/>
    </row>
    <row r="5" spans="1:60" ht="12.75" x14ac:dyDescent="0.2">
      <c r="A5" s="3" t="s">
        <v>16</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60" ht="3" customHeight="1" x14ac:dyDescent="0.2"/>
    <row r="7" spans="1:60" s="2" customFormat="1" x14ac:dyDescent="0.2">
      <c r="A7" s="5"/>
      <c r="B7" s="6">
        <v>1966</v>
      </c>
      <c r="C7" s="6">
        <v>1967</v>
      </c>
      <c r="D7" s="6">
        <v>1968</v>
      </c>
      <c r="E7" s="6">
        <v>1969</v>
      </c>
      <c r="F7" s="6">
        <v>1970</v>
      </c>
      <c r="G7" s="6">
        <v>1971</v>
      </c>
      <c r="H7" s="6">
        <v>1972</v>
      </c>
      <c r="I7" s="6">
        <v>1973</v>
      </c>
      <c r="J7" s="6">
        <v>1974</v>
      </c>
      <c r="K7" s="6">
        <v>1975</v>
      </c>
      <c r="L7" s="6">
        <v>1976</v>
      </c>
      <c r="M7" s="6">
        <v>1977</v>
      </c>
      <c r="N7" s="6">
        <v>1978</v>
      </c>
      <c r="O7" s="6">
        <v>1979</v>
      </c>
      <c r="P7" s="6">
        <v>1980</v>
      </c>
      <c r="Q7" s="6">
        <v>1981</v>
      </c>
      <c r="R7" s="6">
        <v>1982</v>
      </c>
      <c r="S7" s="6">
        <v>1983</v>
      </c>
      <c r="T7" s="6">
        <v>1984</v>
      </c>
      <c r="U7" s="6">
        <v>1985</v>
      </c>
      <c r="V7" s="6">
        <v>1986</v>
      </c>
      <c r="W7" s="6">
        <v>1987</v>
      </c>
      <c r="X7" s="6">
        <v>1988</v>
      </c>
      <c r="Y7" s="6">
        <v>1989</v>
      </c>
      <c r="Z7" s="6">
        <v>1990</v>
      </c>
      <c r="AA7" s="6">
        <v>1991</v>
      </c>
      <c r="AB7" s="6">
        <v>1992</v>
      </c>
      <c r="AC7" s="6">
        <v>1993</v>
      </c>
      <c r="AD7" s="6">
        <v>1994</v>
      </c>
      <c r="AE7" s="6">
        <v>1995</v>
      </c>
      <c r="AF7" s="6">
        <v>1996</v>
      </c>
      <c r="AG7" s="6">
        <v>1997</v>
      </c>
      <c r="AH7" s="6">
        <v>1998</v>
      </c>
      <c r="AI7" s="6">
        <v>1999</v>
      </c>
      <c r="AJ7" s="6">
        <v>2000</v>
      </c>
      <c r="AK7" s="6">
        <v>2001</v>
      </c>
      <c r="AL7" s="6">
        <v>2002</v>
      </c>
      <c r="AM7" s="6">
        <v>2003</v>
      </c>
      <c r="AN7" s="6">
        <v>2004</v>
      </c>
      <c r="AO7" s="6">
        <v>2005</v>
      </c>
      <c r="AP7" s="6">
        <v>2006</v>
      </c>
      <c r="AQ7" s="6">
        <v>2007</v>
      </c>
      <c r="AR7" s="6">
        <v>2008</v>
      </c>
      <c r="AS7" s="6">
        <v>2009</v>
      </c>
      <c r="AT7" s="6">
        <v>2010</v>
      </c>
      <c r="AU7" s="6">
        <v>2011</v>
      </c>
      <c r="AV7" s="6">
        <v>2012</v>
      </c>
      <c r="AW7" s="6">
        <v>2013</v>
      </c>
      <c r="AX7" s="6">
        <v>2014</v>
      </c>
      <c r="AY7" s="6">
        <v>2015</v>
      </c>
      <c r="AZ7" s="6">
        <v>2016</v>
      </c>
      <c r="BA7" s="6">
        <v>2017</v>
      </c>
      <c r="BB7" s="6">
        <v>2018</v>
      </c>
      <c r="BC7" s="6">
        <v>2019</v>
      </c>
      <c r="BD7" s="6">
        <v>2020</v>
      </c>
      <c r="BE7" s="6">
        <v>2021</v>
      </c>
      <c r="BF7" s="6">
        <v>2022</v>
      </c>
      <c r="BG7" s="6">
        <v>2023</v>
      </c>
      <c r="BH7" s="6">
        <v>2024</v>
      </c>
    </row>
    <row r="8" spans="1:60" x14ac:dyDescent="0.2">
      <c r="A8" s="7" t="s">
        <v>72</v>
      </c>
      <c r="B8" s="28"/>
      <c r="C8" s="28"/>
      <c r="D8" s="28"/>
      <c r="E8" s="28"/>
      <c r="F8" s="28"/>
      <c r="G8" s="28"/>
      <c r="H8" s="28"/>
      <c r="I8" s="28"/>
      <c r="J8" s="28"/>
      <c r="K8" s="28"/>
      <c r="L8" s="28"/>
      <c r="M8" s="28"/>
      <c r="N8" s="28"/>
      <c r="O8" s="28"/>
      <c r="P8" s="28"/>
      <c r="Q8" s="28"/>
      <c r="R8" s="28"/>
      <c r="S8" s="28"/>
      <c r="T8" s="28"/>
      <c r="U8" s="28"/>
      <c r="V8" s="28"/>
      <c r="W8" s="28"/>
      <c r="X8" s="28"/>
      <c r="Y8" s="28"/>
      <c r="Z8" s="28"/>
      <c r="AA8" s="28"/>
      <c r="AB8" s="28">
        <v>16.170276271485715</v>
      </c>
      <c r="AC8" s="28">
        <v>17.955468895267675</v>
      </c>
      <c r="AD8" s="28">
        <v>16.668852422803994</v>
      </c>
      <c r="AE8" s="28">
        <v>17.958504480174565</v>
      </c>
      <c r="AF8" s="28">
        <v>17.874886353539633</v>
      </c>
      <c r="AG8" s="28">
        <v>17.867771339931419</v>
      </c>
      <c r="AH8" s="28">
        <v>19.769925466740304</v>
      </c>
      <c r="AI8" s="28">
        <v>17.028203098031288</v>
      </c>
      <c r="AJ8" s="28">
        <v>16.560395618974503</v>
      </c>
      <c r="AK8" s="28">
        <v>17.383747691328853</v>
      </c>
      <c r="AL8" s="28">
        <v>16.716636351818508</v>
      </c>
      <c r="AM8" s="28">
        <v>15.464742554820251</v>
      </c>
      <c r="AN8" s="28">
        <v>18.02567878862753</v>
      </c>
      <c r="AO8" s="28">
        <v>16.237558368356119</v>
      </c>
      <c r="AP8" s="28">
        <v>17.036812954007011</v>
      </c>
      <c r="AQ8" s="28">
        <v>15.90755758103791</v>
      </c>
      <c r="AR8" s="28">
        <v>15.842709534529945</v>
      </c>
      <c r="AS8" s="28">
        <v>16.224753587803203</v>
      </c>
      <c r="AT8" s="28">
        <v>16.760720419019087</v>
      </c>
      <c r="AU8" s="28">
        <v>16.587262875454119</v>
      </c>
      <c r="AV8" s="28">
        <v>14.914163246277552</v>
      </c>
      <c r="AW8" s="28">
        <v>14.324885953672617</v>
      </c>
      <c r="AX8" s="28">
        <v>14.633635620776461</v>
      </c>
      <c r="AY8" s="28">
        <v>14.192503211792626</v>
      </c>
      <c r="AZ8" s="28">
        <v>14.614772691884481</v>
      </c>
      <c r="BA8" s="28">
        <v>13.73223270107197</v>
      </c>
      <c r="BB8" s="28">
        <v>12.860440593129663</v>
      </c>
      <c r="BC8" s="28">
        <v>13.606190173407976</v>
      </c>
      <c r="BD8" s="28">
        <v>8.3838294816034189</v>
      </c>
      <c r="BE8" s="28">
        <v>10.750273278441536</v>
      </c>
      <c r="BF8" s="28">
        <v>10.276270646636474</v>
      </c>
      <c r="BG8" s="28">
        <v>12.618590187950145</v>
      </c>
      <c r="BH8" s="28">
        <v>12.445260095700343</v>
      </c>
    </row>
    <row r="9" spans="1:60" x14ac:dyDescent="0.2">
      <c r="A9" s="7" t="s">
        <v>73</v>
      </c>
      <c r="B9" s="28"/>
      <c r="C9" s="28"/>
      <c r="D9" s="28"/>
      <c r="E9" s="28"/>
      <c r="F9" s="28"/>
      <c r="G9" s="28"/>
      <c r="H9" s="28"/>
      <c r="I9" s="28"/>
      <c r="J9" s="28"/>
      <c r="K9" s="28"/>
      <c r="L9" s="28"/>
      <c r="M9" s="28"/>
      <c r="N9" s="28"/>
      <c r="O9" s="28"/>
      <c r="P9" s="28"/>
      <c r="Q9" s="28"/>
      <c r="R9" s="28"/>
      <c r="S9" s="28"/>
      <c r="T9" s="28"/>
      <c r="U9" s="28"/>
      <c r="V9" s="28"/>
      <c r="W9" s="28"/>
      <c r="X9" s="28"/>
      <c r="Y9" s="28"/>
      <c r="Z9" s="28"/>
      <c r="AA9" s="28"/>
      <c r="AB9" s="28">
        <v>13.440746637351946</v>
      </c>
      <c r="AC9" s="28">
        <v>15.325842647510591</v>
      </c>
      <c r="AD9" s="28">
        <v>13.948311558359439</v>
      </c>
      <c r="AE9" s="28">
        <v>14.424452697079959</v>
      </c>
      <c r="AF9" s="28">
        <v>14.01662186245394</v>
      </c>
      <c r="AG9" s="28">
        <v>14.696489647499575</v>
      </c>
      <c r="AH9" s="28">
        <v>17.44289366536551</v>
      </c>
      <c r="AI9" s="28">
        <v>14.161280877498358</v>
      </c>
      <c r="AJ9" s="28">
        <v>12.496101723186214</v>
      </c>
      <c r="AK9" s="28">
        <v>14.901047296578207</v>
      </c>
      <c r="AL9" s="28">
        <v>14.607967194319132</v>
      </c>
      <c r="AM9" s="28">
        <v>12.488889721616141</v>
      </c>
      <c r="AN9" s="28">
        <v>14.46432942233343</v>
      </c>
      <c r="AO9" s="28">
        <v>12.259656004101128</v>
      </c>
      <c r="AP9" s="28">
        <v>13.451314361089551</v>
      </c>
      <c r="AQ9" s="28">
        <v>13.16603746494879</v>
      </c>
      <c r="AR9" s="28">
        <v>12.811537041959282</v>
      </c>
      <c r="AS9" s="28">
        <v>13.274094254919769</v>
      </c>
      <c r="AT9" s="28">
        <v>13.39244296770433</v>
      </c>
      <c r="AU9" s="28">
        <v>13.709662605525907</v>
      </c>
      <c r="AV9" s="28">
        <v>12.49384721714172</v>
      </c>
      <c r="AW9" s="28">
        <v>11.593648848251291</v>
      </c>
      <c r="AX9" s="28">
        <v>12.541536074035031</v>
      </c>
      <c r="AY9" s="28">
        <v>12.236632284232849</v>
      </c>
      <c r="AZ9" s="28">
        <v>12.394910244334559</v>
      </c>
      <c r="BA9" s="28">
        <v>11.996215392331573</v>
      </c>
      <c r="BB9" s="28">
        <v>11.267483361402256</v>
      </c>
      <c r="BC9" s="28">
        <v>12.006255247269326</v>
      </c>
      <c r="BD9" s="28">
        <v>7.1988989242686419</v>
      </c>
      <c r="BE9" s="28">
        <v>9.5534512022360847</v>
      </c>
      <c r="BF9" s="28">
        <v>8.8795041733770042</v>
      </c>
      <c r="BG9" s="28">
        <v>10.524284937228318</v>
      </c>
      <c r="BH9" s="28">
        <v>10.494056519652421</v>
      </c>
    </row>
    <row r="10" spans="1:60" x14ac:dyDescent="0.2">
      <c r="A10" s="7" t="s">
        <v>1</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v>15.369457504041275</v>
      </c>
      <c r="AC10" s="28">
        <v>17.387108057729392</v>
      </c>
      <c r="AD10" s="28">
        <v>15.848438007231911</v>
      </c>
      <c r="AE10" s="28">
        <v>15.752444895213074</v>
      </c>
      <c r="AF10" s="28">
        <v>16.059805159019604</v>
      </c>
      <c r="AG10" s="28">
        <v>16.547261054415934</v>
      </c>
      <c r="AH10" s="28">
        <v>19.75999929821014</v>
      </c>
      <c r="AI10" s="28">
        <v>14.848155041156721</v>
      </c>
      <c r="AJ10" s="28">
        <v>14.503704569672236</v>
      </c>
      <c r="AK10" s="28">
        <v>16.540934003065107</v>
      </c>
      <c r="AL10" s="28">
        <v>16.957439578333322</v>
      </c>
      <c r="AM10" s="28">
        <v>14.826928449564559</v>
      </c>
      <c r="AN10" s="28">
        <v>16.962937281205758</v>
      </c>
      <c r="AO10" s="28">
        <v>14.929399836759623</v>
      </c>
      <c r="AP10" s="28">
        <v>15.646636822624904</v>
      </c>
      <c r="AQ10" s="28">
        <v>14.782737175132393</v>
      </c>
      <c r="AR10" s="28">
        <v>14.873791796593578</v>
      </c>
      <c r="AS10" s="28">
        <v>15.713314164535866</v>
      </c>
      <c r="AT10" s="28">
        <v>15.929623471841595</v>
      </c>
      <c r="AU10" s="28">
        <v>16.493188963321188</v>
      </c>
      <c r="AV10" s="28">
        <v>15.300994665006021</v>
      </c>
      <c r="AW10" s="28">
        <v>13.804608142834562</v>
      </c>
      <c r="AX10" s="28">
        <v>15.002880773542183</v>
      </c>
      <c r="AY10" s="28">
        <v>14.644465482141342</v>
      </c>
      <c r="AZ10" s="28">
        <v>14.858133009054233</v>
      </c>
      <c r="BA10" s="28">
        <v>14.737142764303796</v>
      </c>
      <c r="BB10" s="28">
        <v>13.895494063983246</v>
      </c>
      <c r="BC10" s="28">
        <v>14.45212272247938</v>
      </c>
      <c r="BD10" s="28">
        <v>9.219981286245222</v>
      </c>
      <c r="BE10" s="28">
        <v>11.469030051689458</v>
      </c>
      <c r="BF10" s="28">
        <v>11.06686767437302</v>
      </c>
      <c r="BG10" s="28">
        <v>13.912907010483263</v>
      </c>
      <c r="BH10" s="28">
        <v>13.827227262883277</v>
      </c>
    </row>
    <row r="11" spans="1:60" x14ac:dyDescent="0.2">
      <c r="A11" s="7" t="s">
        <v>74</v>
      </c>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v>13.078966849369033</v>
      </c>
      <c r="AC11" s="28">
        <v>15.322773719978747</v>
      </c>
      <c r="AD11" s="28">
        <v>13.99351100613379</v>
      </c>
      <c r="AE11" s="28">
        <v>14.569922364430848</v>
      </c>
      <c r="AF11" s="28">
        <v>14.034243751036096</v>
      </c>
      <c r="AG11" s="28">
        <v>14.562765573172614</v>
      </c>
      <c r="AH11" s="28">
        <v>16.954171735000489</v>
      </c>
      <c r="AI11" s="28">
        <v>13.403133984425292</v>
      </c>
      <c r="AJ11" s="28">
        <v>13.444372240862352</v>
      </c>
      <c r="AK11" s="28">
        <v>14.562979006238571</v>
      </c>
      <c r="AL11" s="28">
        <v>14.237670376440253</v>
      </c>
      <c r="AM11" s="28">
        <v>12.849290499784932</v>
      </c>
      <c r="AN11" s="28">
        <v>14.174764286408164</v>
      </c>
      <c r="AO11" s="28">
        <v>12.362600237706145</v>
      </c>
      <c r="AP11" s="28">
        <v>13.244809918426329</v>
      </c>
      <c r="AQ11" s="28">
        <v>12.483583949840325</v>
      </c>
      <c r="AR11" s="28">
        <v>12.59214517157351</v>
      </c>
      <c r="AS11" s="28">
        <v>13.105846233174006</v>
      </c>
      <c r="AT11" s="28">
        <v>13.267808824196011</v>
      </c>
      <c r="AU11" s="28">
        <v>13.989304655997357</v>
      </c>
      <c r="AV11" s="28">
        <v>13.109101640859356</v>
      </c>
      <c r="AW11" s="28">
        <v>12.240341573490417</v>
      </c>
      <c r="AX11" s="28">
        <v>13.354505575684303</v>
      </c>
      <c r="AY11" s="28">
        <v>13.089095200434238</v>
      </c>
      <c r="AZ11" s="28">
        <v>13.754196985275144</v>
      </c>
      <c r="BA11" s="28">
        <v>13.950939803940685</v>
      </c>
      <c r="BB11" s="28">
        <v>12.5915073448118</v>
      </c>
      <c r="BC11" s="28">
        <v>13.016677256835177</v>
      </c>
      <c r="BD11" s="28">
        <v>7.9708312953968976</v>
      </c>
      <c r="BE11" s="28">
        <v>9.938881022515984</v>
      </c>
      <c r="BF11" s="28">
        <v>9.6361985296702954</v>
      </c>
      <c r="BG11" s="28">
        <v>11.501316197177498</v>
      </c>
      <c r="BH11" s="28">
        <v>11.289111499626703</v>
      </c>
    </row>
    <row r="12" spans="1:60" x14ac:dyDescent="0.2">
      <c r="A12" s="7" t="s">
        <v>5</v>
      </c>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v>12.330208134060252</v>
      </c>
      <c r="AC12" s="28">
        <v>13.802850789892615</v>
      </c>
      <c r="AD12" s="28">
        <v>11.489727300514668</v>
      </c>
      <c r="AE12" s="28">
        <v>12.731278530959212</v>
      </c>
      <c r="AF12" s="28">
        <v>11.831345778523206</v>
      </c>
      <c r="AG12" s="28">
        <v>12.238066796572989</v>
      </c>
      <c r="AH12" s="28">
        <v>13.802818438039822</v>
      </c>
      <c r="AI12" s="28">
        <v>10.762900874333974</v>
      </c>
      <c r="AJ12" s="28">
        <v>10.365164197266942</v>
      </c>
      <c r="AK12" s="28">
        <v>11.266890162635784</v>
      </c>
      <c r="AL12" s="28">
        <v>11.431048686841104</v>
      </c>
      <c r="AM12" s="28">
        <v>9.3188464533881401</v>
      </c>
      <c r="AN12" s="28">
        <v>11.776567783818516</v>
      </c>
      <c r="AO12" s="28">
        <v>9.1937660632539675</v>
      </c>
      <c r="AP12" s="28">
        <v>9.8981021185264932</v>
      </c>
      <c r="AQ12" s="28">
        <v>10.925066838365428</v>
      </c>
      <c r="AR12" s="28">
        <v>11.216189694446715</v>
      </c>
      <c r="AS12" s="28">
        <v>13.149987426555482</v>
      </c>
      <c r="AT12" s="28">
        <v>14.666041404031047</v>
      </c>
      <c r="AU12" s="28">
        <v>14.960120117058592</v>
      </c>
      <c r="AV12" s="28">
        <v>14.953945993907613</v>
      </c>
      <c r="AW12" s="28">
        <v>13.610615729825238</v>
      </c>
      <c r="AX12" s="28">
        <v>14.246208487907921</v>
      </c>
      <c r="AY12" s="28">
        <v>13.969060618980796</v>
      </c>
      <c r="AZ12" s="28">
        <v>16.206458833806508</v>
      </c>
      <c r="BA12" s="28">
        <v>17.557850211495396</v>
      </c>
      <c r="BB12" s="28">
        <v>16.557794979084871</v>
      </c>
      <c r="BC12" s="28">
        <v>16.168457145292965</v>
      </c>
      <c r="BD12" s="28">
        <v>8.1552720952941069</v>
      </c>
      <c r="BE12" s="28">
        <v>10.8156910598001</v>
      </c>
      <c r="BF12" s="28">
        <v>11.648160352585188</v>
      </c>
      <c r="BG12" s="28">
        <v>14.199920026096349</v>
      </c>
      <c r="BH12" s="28">
        <v>13.380209461076479</v>
      </c>
    </row>
    <row r="13" spans="1:60" x14ac:dyDescent="0.2">
      <c r="A13" s="7" t="s">
        <v>77</v>
      </c>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v>15.570937818009895</v>
      </c>
      <c r="AC13" s="28">
        <v>18.720753624759194</v>
      </c>
      <c r="AD13" s="28">
        <v>16.764552637103293</v>
      </c>
      <c r="AE13" s="28">
        <v>15.980817526668694</v>
      </c>
      <c r="AF13" s="28">
        <v>16.053704955225221</v>
      </c>
      <c r="AG13" s="28">
        <v>17.283736620370789</v>
      </c>
      <c r="AH13" s="28">
        <v>19.63411664666209</v>
      </c>
      <c r="AI13" s="28">
        <v>16.130940538140884</v>
      </c>
      <c r="AJ13" s="28">
        <v>15.635432219739107</v>
      </c>
      <c r="AK13" s="28">
        <v>15.624395803072263</v>
      </c>
      <c r="AL13" s="28">
        <v>15.048489486199596</v>
      </c>
      <c r="AM13" s="28">
        <v>13.430049594367354</v>
      </c>
      <c r="AN13" s="28">
        <v>14.81185415850638</v>
      </c>
      <c r="AO13" s="28">
        <v>13.113857504996121</v>
      </c>
      <c r="AP13" s="28">
        <v>13.500821555976925</v>
      </c>
      <c r="AQ13" s="28">
        <v>12.35105020081037</v>
      </c>
      <c r="AR13" s="28">
        <v>12.67246286231064</v>
      </c>
      <c r="AS13" s="28">
        <v>13.586880302523848</v>
      </c>
      <c r="AT13" s="28">
        <v>13.564546916952153</v>
      </c>
      <c r="AU13" s="28">
        <v>14.036287049205779</v>
      </c>
      <c r="AV13" s="28">
        <v>12.685302500222875</v>
      </c>
      <c r="AW13" s="28">
        <v>11.893193942600448</v>
      </c>
      <c r="AX13" s="28">
        <v>12.729213637790588</v>
      </c>
      <c r="AY13" s="28">
        <v>12.559983651064622</v>
      </c>
      <c r="AZ13" s="28">
        <v>12.447583559655699</v>
      </c>
      <c r="BA13" s="28">
        <v>12.25541237787356</v>
      </c>
      <c r="BB13" s="28">
        <v>11.397446534838206</v>
      </c>
      <c r="BC13" s="28">
        <v>12.051297947278613</v>
      </c>
      <c r="BD13" s="28">
        <v>7.3815382531695128</v>
      </c>
      <c r="BE13" s="28">
        <v>9.0439306267569357</v>
      </c>
      <c r="BF13" s="28">
        <v>8.5051530100424131</v>
      </c>
      <c r="BG13" s="28">
        <v>10.288592489108746</v>
      </c>
      <c r="BH13" s="28">
        <v>9.6947323920135791</v>
      </c>
    </row>
    <row r="14" spans="1:60" x14ac:dyDescent="0.2">
      <c r="A14" s="7" t="s">
        <v>78</v>
      </c>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v>15.10389795630746</v>
      </c>
      <c r="AC14" s="28">
        <v>18.294247923646431</v>
      </c>
      <c r="AD14" s="28">
        <v>15.571149934474986</v>
      </c>
      <c r="AE14" s="28">
        <v>16.214169456059633</v>
      </c>
      <c r="AF14" s="28">
        <v>15.366494944050949</v>
      </c>
      <c r="AG14" s="28">
        <v>15.747696031882738</v>
      </c>
      <c r="AH14" s="28">
        <v>20.256025736931523</v>
      </c>
      <c r="AI14" s="28">
        <v>16.536235448176878</v>
      </c>
      <c r="AJ14" s="28">
        <v>15.63206429855698</v>
      </c>
      <c r="AK14" s="28">
        <v>16.136312804658733</v>
      </c>
      <c r="AL14" s="28">
        <v>15.221880016831744</v>
      </c>
      <c r="AM14" s="28">
        <v>13.858005120293765</v>
      </c>
      <c r="AN14" s="28">
        <v>14.738689448973691</v>
      </c>
      <c r="AO14" s="28">
        <v>13.616931537211375</v>
      </c>
      <c r="AP14" s="28">
        <v>14.359517634205602</v>
      </c>
      <c r="AQ14" s="28">
        <v>13.434114488506877</v>
      </c>
      <c r="AR14" s="28">
        <v>14.753521284153345</v>
      </c>
      <c r="AS14" s="28">
        <v>14.520919880328098</v>
      </c>
      <c r="AT14" s="28">
        <v>14.376031962979496</v>
      </c>
      <c r="AU14" s="28">
        <v>15.242805628601563</v>
      </c>
      <c r="AV14" s="28">
        <v>13.931941490281332</v>
      </c>
      <c r="AW14" s="28">
        <v>12.770769100107316</v>
      </c>
      <c r="AX14" s="28">
        <v>13.949617360175001</v>
      </c>
      <c r="AY14" s="28">
        <v>13.6571073971445</v>
      </c>
      <c r="AZ14" s="28">
        <v>13.707471876625535</v>
      </c>
      <c r="BA14" s="28">
        <v>13.596390258308896</v>
      </c>
      <c r="BB14" s="28">
        <v>12.924370210957809</v>
      </c>
      <c r="BC14" s="28">
        <v>13.190137358779335</v>
      </c>
      <c r="BD14" s="28">
        <v>8.0450013760475372</v>
      </c>
      <c r="BE14" s="28">
        <v>10.076774298952024</v>
      </c>
      <c r="BF14" s="28">
        <v>9.5580458523901157</v>
      </c>
      <c r="BG14" s="28">
        <v>12.000795837097659</v>
      </c>
      <c r="BH14" s="28">
        <v>11.65405266476437</v>
      </c>
    </row>
    <row r="15" spans="1:60" x14ac:dyDescent="0.2">
      <c r="A15" s="7" t="s">
        <v>2</v>
      </c>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v>20.039849538305361</v>
      </c>
      <c r="AC15" s="28">
        <v>21.066369436449968</v>
      </c>
      <c r="AD15" s="28">
        <v>20.041021640685027</v>
      </c>
      <c r="AE15" s="28">
        <v>19.574423949513047</v>
      </c>
      <c r="AF15" s="28">
        <v>18.907558145761428</v>
      </c>
      <c r="AG15" s="28">
        <v>19.067606646111454</v>
      </c>
      <c r="AH15" s="28">
        <v>20.634532767237822</v>
      </c>
      <c r="AI15" s="28">
        <v>17.579654272652409</v>
      </c>
      <c r="AJ15" s="28">
        <v>19.411019596012231</v>
      </c>
      <c r="AK15" s="28">
        <v>21.100203890072542</v>
      </c>
      <c r="AL15" s="28">
        <v>19.493109181402225</v>
      </c>
      <c r="AM15" s="28">
        <v>18.129459899051817</v>
      </c>
      <c r="AN15" s="28">
        <v>18.98979029777643</v>
      </c>
      <c r="AO15" s="28">
        <v>17.586965285497403</v>
      </c>
      <c r="AP15" s="28">
        <v>18.054404526910339</v>
      </c>
      <c r="AQ15" s="28">
        <v>16.874651738245529</v>
      </c>
      <c r="AR15" s="28">
        <v>17.251280586692708</v>
      </c>
      <c r="AS15" s="28">
        <v>18.335317351601713</v>
      </c>
      <c r="AT15" s="28">
        <v>18.16768711394224</v>
      </c>
      <c r="AU15" s="28">
        <v>18.357905607833235</v>
      </c>
      <c r="AV15" s="28">
        <v>17.71226616727105</v>
      </c>
      <c r="AW15" s="28">
        <v>16.926267015683834</v>
      </c>
      <c r="AX15" s="28">
        <v>16.684513425886703</v>
      </c>
      <c r="AY15" s="28">
        <v>15.493296135714163</v>
      </c>
      <c r="AZ15" s="28">
        <v>15.613608574984205</v>
      </c>
      <c r="BA15" s="28">
        <v>15.24156498732561</v>
      </c>
      <c r="BB15" s="28">
        <v>13.931491623729562</v>
      </c>
      <c r="BC15" s="28">
        <v>14.672290210062949</v>
      </c>
      <c r="BD15" s="28">
        <v>9.696865587554937</v>
      </c>
      <c r="BE15" s="28">
        <v>11.94920828895641</v>
      </c>
      <c r="BF15" s="28">
        <v>11.340759422028372</v>
      </c>
      <c r="BG15" s="28">
        <v>13.07580552236047</v>
      </c>
      <c r="BH15" s="28">
        <v>12.90505602245581</v>
      </c>
    </row>
    <row r="16" spans="1:60" x14ac:dyDescent="0.2">
      <c r="A16" s="7" t="s">
        <v>75</v>
      </c>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v>13.520006487988878</v>
      </c>
      <c r="AC16" s="28">
        <v>15.903276362876067</v>
      </c>
      <c r="AD16" s="28">
        <v>14.935231162278956</v>
      </c>
      <c r="AE16" s="28">
        <v>15.156265961419418</v>
      </c>
      <c r="AF16" s="28">
        <v>14.596644729464961</v>
      </c>
      <c r="AG16" s="28">
        <v>14.912263199300726</v>
      </c>
      <c r="AH16" s="28">
        <v>17.606600595055674</v>
      </c>
      <c r="AI16" s="28">
        <v>12.833194290546604</v>
      </c>
      <c r="AJ16" s="28">
        <v>13.218988563763887</v>
      </c>
      <c r="AK16" s="28">
        <v>14.024756760458057</v>
      </c>
      <c r="AL16" s="28">
        <v>13.614435449113616</v>
      </c>
      <c r="AM16" s="28">
        <v>12.761539482412044</v>
      </c>
      <c r="AN16" s="28">
        <v>13.80391213175923</v>
      </c>
      <c r="AO16" s="28">
        <v>12.723023254215349</v>
      </c>
      <c r="AP16" s="28">
        <v>14.375040774105353</v>
      </c>
      <c r="AQ16" s="28">
        <v>13.156768755545437</v>
      </c>
      <c r="AR16" s="28">
        <v>13.880743172135601</v>
      </c>
      <c r="AS16" s="28">
        <v>13.417691385142355</v>
      </c>
      <c r="AT16" s="28">
        <v>13.4934975819715</v>
      </c>
      <c r="AU16" s="28">
        <v>14.062773419900681</v>
      </c>
      <c r="AV16" s="28">
        <v>12.810694652802518</v>
      </c>
      <c r="AW16" s="28">
        <v>11.599745037921391</v>
      </c>
      <c r="AX16" s="28">
        <v>12.735410030483688</v>
      </c>
      <c r="AY16" s="28">
        <v>12.583486297189392</v>
      </c>
      <c r="AZ16" s="28">
        <v>12.821500670895619</v>
      </c>
      <c r="BA16" s="28">
        <v>12.224417186442778</v>
      </c>
      <c r="BB16" s="28">
        <v>11.443794078793003</v>
      </c>
      <c r="BC16" s="28">
        <v>11.985112787792701</v>
      </c>
      <c r="BD16" s="28">
        <v>7.6892301757244246</v>
      </c>
      <c r="BE16" s="28">
        <v>9.99612793459427</v>
      </c>
      <c r="BF16" s="28">
        <v>9.3250390114099631</v>
      </c>
      <c r="BG16" s="28">
        <v>11.573999252485761</v>
      </c>
      <c r="BH16" s="28">
        <v>11.218846616021029</v>
      </c>
    </row>
    <row r="17" spans="1:60" x14ac:dyDescent="0.2">
      <c r="A17" s="7" t="s">
        <v>79</v>
      </c>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v>12.851752840921463</v>
      </c>
      <c r="AC17" s="28">
        <v>14.632547371819957</v>
      </c>
      <c r="AD17" s="28">
        <v>13.362888800250634</v>
      </c>
      <c r="AE17" s="28">
        <v>14.234840639958504</v>
      </c>
      <c r="AF17" s="28">
        <v>13.743535256317424</v>
      </c>
      <c r="AG17" s="28">
        <v>13.897253371309109</v>
      </c>
      <c r="AH17" s="28">
        <v>16.15569200405595</v>
      </c>
      <c r="AI17" s="28">
        <v>13.208426239208265</v>
      </c>
      <c r="AJ17" s="28">
        <v>13.666832444307792</v>
      </c>
      <c r="AK17" s="28">
        <v>15.131883141072747</v>
      </c>
      <c r="AL17" s="28">
        <v>14.824889933071001</v>
      </c>
      <c r="AM17" s="28">
        <v>13.255946224114204</v>
      </c>
      <c r="AN17" s="28">
        <v>14.302802615000946</v>
      </c>
      <c r="AO17" s="28">
        <v>12.981009824346817</v>
      </c>
      <c r="AP17" s="28">
        <v>13.680428422736094</v>
      </c>
      <c r="AQ17" s="28">
        <v>12.973128956657066</v>
      </c>
      <c r="AR17" s="28">
        <v>12.855729273296182</v>
      </c>
      <c r="AS17" s="28">
        <v>13.479800479841316</v>
      </c>
      <c r="AT17" s="28">
        <v>13.653218206711355</v>
      </c>
      <c r="AU17" s="28">
        <v>13.772848687994497</v>
      </c>
      <c r="AV17" s="28">
        <v>12.78762758351192</v>
      </c>
      <c r="AW17" s="28">
        <v>11.637025614355247</v>
      </c>
      <c r="AX17" s="28">
        <v>12.298993902055729</v>
      </c>
      <c r="AY17" s="28">
        <v>12.094873809575247</v>
      </c>
      <c r="AZ17" s="28">
        <v>12.125040499289398</v>
      </c>
      <c r="BA17" s="28">
        <v>11.718297344757952</v>
      </c>
      <c r="BB17" s="28">
        <v>11.143989564005981</v>
      </c>
      <c r="BC17" s="28">
        <v>11.79240286673414</v>
      </c>
      <c r="BD17" s="28">
        <v>7.2070632271408783</v>
      </c>
      <c r="BE17" s="28">
        <v>9.0742247815886046</v>
      </c>
      <c r="BF17" s="28">
        <v>8.7507658325250759</v>
      </c>
      <c r="BG17" s="28">
        <v>10.573453303778898</v>
      </c>
      <c r="BH17" s="28">
        <v>10.738810475565638</v>
      </c>
    </row>
    <row r="18" spans="1:60" x14ac:dyDescent="0.2">
      <c r="A18" s="7" t="s">
        <v>80</v>
      </c>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v>16.691503107590577</v>
      </c>
      <c r="AC18" s="28">
        <v>17.830674241509623</v>
      </c>
      <c r="AD18" s="28">
        <v>16.379801344006871</v>
      </c>
      <c r="AE18" s="28">
        <v>16.985289888692151</v>
      </c>
      <c r="AF18" s="28">
        <v>16.960432069320554</v>
      </c>
      <c r="AG18" s="28">
        <v>16.884349580003686</v>
      </c>
      <c r="AH18" s="28">
        <v>17.903135324424248</v>
      </c>
      <c r="AI18" s="28">
        <v>15.430188864068642</v>
      </c>
      <c r="AJ18" s="28">
        <v>16.022464517436543</v>
      </c>
      <c r="AK18" s="28">
        <v>17.202274194521252</v>
      </c>
      <c r="AL18" s="28">
        <v>17.135545229492617</v>
      </c>
      <c r="AM18" s="28">
        <v>15.602859766692923</v>
      </c>
      <c r="AN18" s="28">
        <v>16.267539540482694</v>
      </c>
      <c r="AO18" s="28">
        <v>15.058591405299843</v>
      </c>
      <c r="AP18" s="28">
        <v>15.451809785739409</v>
      </c>
      <c r="AQ18" s="28">
        <v>14.753707132646069</v>
      </c>
      <c r="AR18" s="28">
        <v>14.723269994774176</v>
      </c>
      <c r="AS18" s="28">
        <v>15.844658163175549</v>
      </c>
      <c r="AT18" s="28">
        <v>15.816831584834965</v>
      </c>
      <c r="AU18" s="28">
        <v>15.864943785329134</v>
      </c>
      <c r="AV18" s="28">
        <v>14.672184759112742</v>
      </c>
      <c r="AW18" s="28">
        <v>14.023995555845174</v>
      </c>
      <c r="AX18" s="28">
        <v>14.530444149552308</v>
      </c>
      <c r="AY18" s="28">
        <v>14.551543056403313</v>
      </c>
      <c r="AZ18" s="28">
        <v>14.680018095962183</v>
      </c>
      <c r="BA18" s="28">
        <v>13.973027871835383</v>
      </c>
      <c r="BB18" s="28">
        <v>12.789439309122127</v>
      </c>
      <c r="BC18" s="28">
        <v>13.662427948448027</v>
      </c>
      <c r="BD18" s="28">
        <v>8.3025917227499697</v>
      </c>
      <c r="BE18" s="28">
        <v>10.164293426588836</v>
      </c>
      <c r="BF18" s="28">
        <v>10.26335913160964</v>
      </c>
      <c r="BG18" s="28">
        <v>12.412475028065172</v>
      </c>
      <c r="BH18" s="28">
        <v>12.439922530282256</v>
      </c>
    </row>
    <row r="19" spans="1:60" x14ac:dyDescent="0.2">
      <c r="A19" s="7" t="s">
        <v>3</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v>15.032515524437448</v>
      </c>
      <c r="AC19" s="28">
        <v>17.03403845181456</v>
      </c>
      <c r="AD19" s="28">
        <v>15.90986735433035</v>
      </c>
      <c r="AE19" s="28">
        <v>15.951399301908218</v>
      </c>
      <c r="AF19" s="28">
        <v>14.893830797258516</v>
      </c>
      <c r="AG19" s="28">
        <v>14.764966707628115</v>
      </c>
      <c r="AH19" s="28">
        <v>18.545626161181485</v>
      </c>
      <c r="AI19" s="28">
        <v>15.102432008785788</v>
      </c>
      <c r="AJ19" s="28">
        <v>15.306707145874851</v>
      </c>
      <c r="AK19" s="28">
        <v>16.246615649575517</v>
      </c>
      <c r="AL19" s="28">
        <v>15.858156776694315</v>
      </c>
      <c r="AM19" s="28">
        <v>15.17290878383178</v>
      </c>
      <c r="AN19" s="28">
        <v>17.138155752799829</v>
      </c>
      <c r="AO19" s="28">
        <v>15.29963038046939</v>
      </c>
      <c r="AP19" s="28">
        <v>16.617073977780986</v>
      </c>
      <c r="AQ19" s="28">
        <v>15.109205090012717</v>
      </c>
      <c r="AR19" s="28">
        <v>15.584502927187692</v>
      </c>
      <c r="AS19" s="28">
        <v>16.296508238304554</v>
      </c>
      <c r="AT19" s="28">
        <v>16.598292425880778</v>
      </c>
      <c r="AU19" s="28">
        <v>17.010857811551052</v>
      </c>
      <c r="AV19" s="28">
        <v>15.72132889771612</v>
      </c>
      <c r="AW19" s="28">
        <v>14.624680441994784</v>
      </c>
      <c r="AX19" s="28">
        <v>15.526861892373974</v>
      </c>
      <c r="AY19" s="28">
        <v>15.257954219863434</v>
      </c>
      <c r="AZ19" s="28">
        <v>15.114259597508974</v>
      </c>
      <c r="BA19" s="28">
        <v>15.233357451279947</v>
      </c>
      <c r="BB19" s="28">
        <v>14.357525326034462</v>
      </c>
      <c r="BC19" s="28">
        <v>15.424912936283947</v>
      </c>
      <c r="BD19" s="28">
        <v>10.034172193917611</v>
      </c>
      <c r="BE19" s="28">
        <v>12.189485253933761</v>
      </c>
      <c r="BF19" s="28">
        <v>11.945857650760777</v>
      </c>
      <c r="BG19" s="28">
        <v>14.459001875513986</v>
      </c>
      <c r="BH19" s="28">
        <v>14.794802084492945</v>
      </c>
    </row>
    <row r="20" spans="1:60" x14ac:dyDescent="0.2">
      <c r="A20" s="7" t="s">
        <v>4</v>
      </c>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v>15.939305765392723</v>
      </c>
      <c r="AC20" s="28">
        <v>16.860603516140653</v>
      </c>
      <c r="AD20" s="28">
        <v>15.428148017889853</v>
      </c>
      <c r="AE20" s="28">
        <v>16.647339868494083</v>
      </c>
      <c r="AF20" s="28">
        <v>16.625273304265676</v>
      </c>
      <c r="AG20" s="28">
        <v>16.811810656192137</v>
      </c>
      <c r="AH20" s="28">
        <v>17.992840192954343</v>
      </c>
      <c r="AI20" s="28">
        <v>15.191176144483354</v>
      </c>
      <c r="AJ20" s="28">
        <v>15.913606644549821</v>
      </c>
      <c r="AK20" s="28">
        <v>17.426957943287462</v>
      </c>
      <c r="AL20" s="28">
        <v>17.521544705041801</v>
      </c>
      <c r="AM20" s="28">
        <v>16.200279735232211</v>
      </c>
      <c r="AN20" s="28">
        <v>17.604800407555175</v>
      </c>
      <c r="AO20" s="28">
        <v>16.059766476142045</v>
      </c>
      <c r="AP20" s="28">
        <v>16.744700649628637</v>
      </c>
      <c r="AQ20" s="28">
        <v>15.961457692046691</v>
      </c>
      <c r="AR20" s="28">
        <v>16.669615569198328</v>
      </c>
      <c r="AS20" s="28">
        <v>17.66547248951133</v>
      </c>
      <c r="AT20" s="28">
        <v>18.589242078085604</v>
      </c>
      <c r="AU20" s="28">
        <v>18.476564301785132</v>
      </c>
      <c r="AV20" s="28">
        <v>17.194939297615825</v>
      </c>
      <c r="AW20" s="28">
        <v>16.364099771346634</v>
      </c>
      <c r="AX20" s="28">
        <v>16.960010861956714</v>
      </c>
      <c r="AY20" s="28">
        <v>15.925722267358802</v>
      </c>
      <c r="AZ20" s="28">
        <v>15.787901963450832</v>
      </c>
      <c r="BA20" s="28">
        <v>15.218423155272683</v>
      </c>
      <c r="BB20" s="28">
        <v>14.520552388355581</v>
      </c>
      <c r="BC20" s="28">
        <v>15.150880697998717</v>
      </c>
      <c r="BD20" s="28">
        <v>8.6311216828486579</v>
      </c>
      <c r="BE20" s="28">
        <v>10.923541839152653</v>
      </c>
      <c r="BF20" s="28">
        <v>10.92853594077253</v>
      </c>
      <c r="BG20" s="28">
        <v>13.155190158233124</v>
      </c>
      <c r="BH20" s="28">
        <v>12.789044286314361</v>
      </c>
    </row>
    <row r="21" spans="1:60" s="2" customFormat="1" x14ac:dyDescent="0.2">
      <c r="A21" s="9" t="s">
        <v>0</v>
      </c>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v>16.467303501192095</v>
      </c>
      <c r="AC21" s="29">
        <v>18.154834379700564</v>
      </c>
      <c r="AD21" s="29">
        <v>16.763898240599985</v>
      </c>
      <c r="AE21" s="29">
        <v>17.021934654108829</v>
      </c>
      <c r="AF21" s="29">
        <v>16.629741900868485</v>
      </c>
      <c r="AG21" s="29">
        <v>16.866130329736212</v>
      </c>
      <c r="AH21" s="29">
        <v>19.011513731969643</v>
      </c>
      <c r="AI21" s="29">
        <v>15.775718142780557</v>
      </c>
      <c r="AJ21" s="29">
        <v>16.161838859552592</v>
      </c>
      <c r="AK21" s="29">
        <v>17.35566456946767</v>
      </c>
      <c r="AL21" s="29">
        <v>16.735886722307956</v>
      </c>
      <c r="AM21" s="29">
        <v>15.345888241966115</v>
      </c>
      <c r="AN21" s="29">
        <v>16.644271354999347</v>
      </c>
      <c r="AO21" s="29">
        <v>15.14268078600761</v>
      </c>
      <c r="AP21" s="29">
        <v>15.82055052422441</v>
      </c>
      <c r="AQ21" s="29">
        <v>14.821060368852512</v>
      </c>
      <c r="AR21" s="29">
        <v>15.120523197219986</v>
      </c>
      <c r="AS21" s="29">
        <v>15.808314350742009</v>
      </c>
      <c r="AT21" s="29">
        <v>15.931554843531782</v>
      </c>
      <c r="AU21" s="29">
        <v>16.183767796146018</v>
      </c>
      <c r="AV21" s="29">
        <v>15.050763211910963</v>
      </c>
      <c r="AW21" s="29">
        <v>14.139439313199889</v>
      </c>
      <c r="AX21" s="29">
        <v>14.68122949757033</v>
      </c>
      <c r="AY21" s="29">
        <v>14.152253513298984</v>
      </c>
      <c r="AZ21" s="29">
        <v>14.277223054802826</v>
      </c>
      <c r="BA21" s="29">
        <v>13.879709318925604</v>
      </c>
      <c r="BB21" s="29">
        <v>12.938703996213771</v>
      </c>
      <c r="BC21" s="29">
        <v>13.618700905623554</v>
      </c>
      <c r="BD21" s="29">
        <v>8.5025946045898273</v>
      </c>
      <c r="BE21" s="29">
        <v>10.615588707070369</v>
      </c>
      <c r="BF21" s="29">
        <v>10.212060606126355</v>
      </c>
      <c r="BG21" s="29">
        <v>12.28087677700951</v>
      </c>
      <c r="BH21" s="29">
        <v>12.115905693942221</v>
      </c>
    </row>
  </sheetData>
  <phoneticPr fontId="1" type="noConversion"/>
  <hyperlinks>
    <hyperlink ref="A2" location="Sommaire!A1" display="Retour au menu &quot;Exploitation des films&quot;" xr:uid="{00000000-0004-0000-0C00-000000000000}"/>
  </hyperlinks>
  <pageMargins left="0.78740157499999996" right="0.78740157499999996" top="0.984251969" bottom="0.984251969" header="0.4921259845" footer="0.492125984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7"/>
  <dimension ref="A1:X21"/>
  <sheetViews>
    <sheetView workbookViewId="0"/>
  </sheetViews>
  <sheetFormatPr baseColWidth="10" defaultColWidth="5.5703125" defaultRowHeight="12" x14ac:dyDescent="0.2"/>
  <cols>
    <col min="1" max="1" width="29.85546875" style="1" customWidth="1"/>
    <col min="2" max="3" width="5" style="1" bestFit="1" customWidth="1"/>
    <col min="4" max="8" width="5.42578125" style="4" bestFit="1" customWidth="1"/>
    <col min="9" max="9" width="5" style="4" bestFit="1" customWidth="1"/>
    <col min="10" max="16" width="5.42578125" style="4" bestFit="1" customWidth="1"/>
    <col min="17" max="19" width="5.42578125" style="1" bestFit="1" customWidth="1"/>
    <col min="20" max="16384" width="5.5703125" style="1"/>
  </cols>
  <sheetData>
    <row r="1" spans="1:24" s="36" customFormat="1" ht="12.75" x14ac:dyDescent="0.2">
      <c r="D1" s="37"/>
      <c r="E1" s="37"/>
      <c r="F1" s="37"/>
      <c r="G1" s="37"/>
      <c r="H1" s="37"/>
      <c r="I1" s="37"/>
      <c r="J1" s="37"/>
      <c r="K1" s="37"/>
      <c r="L1" s="37"/>
      <c r="M1" s="37"/>
      <c r="N1" s="37"/>
      <c r="O1" s="37"/>
      <c r="P1" s="37"/>
      <c r="Q1" s="37"/>
      <c r="R1" s="37"/>
      <c r="S1" s="37"/>
      <c r="T1" s="37"/>
      <c r="U1" s="37"/>
      <c r="V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row>
    <row r="3" spans="1:24" s="36" customFormat="1" ht="12.75" x14ac:dyDescent="0.2">
      <c r="D3" s="37"/>
      <c r="E3" s="37"/>
      <c r="F3" s="37"/>
      <c r="G3" s="37"/>
      <c r="H3" s="37"/>
      <c r="I3" s="37"/>
      <c r="J3" s="37"/>
      <c r="K3" s="37"/>
      <c r="L3" s="37"/>
      <c r="M3" s="37"/>
      <c r="N3" s="37"/>
      <c r="O3" s="37"/>
      <c r="P3" s="37"/>
      <c r="Q3" s="37"/>
      <c r="R3" s="37"/>
      <c r="S3" s="37"/>
      <c r="T3" s="37"/>
      <c r="U3" s="37"/>
      <c r="V3" s="37"/>
    </row>
    <row r="4" spans="1:24" s="36" customFormat="1" ht="12.75" x14ac:dyDescent="0.2">
      <c r="D4" s="37"/>
      <c r="E4" s="37"/>
      <c r="F4" s="37"/>
      <c r="G4" s="37"/>
      <c r="H4" s="37"/>
      <c r="I4" s="37"/>
      <c r="J4" s="37"/>
      <c r="K4" s="37"/>
      <c r="L4" s="37"/>
      <c r="M4" s="37"/>
      <c r="N4" s="37"/>
      <c r="O4" s="37"/>
      <c r="P4" s="37"/>
      <c r="Q4" s="37"/>
      <c r="R4" s="37"/>
      <c r="S4" s="37"/>
      <c r="T4" s="37"/>
      <c r="U4" s="37"/>
      <c r="V4" s="37"/>
    </row>
    <row r="5" spans="1:24" ht="12.75" x14ac:dyDescent="0.2">
      <c r="A5" s="3" t="s">
        <v>13</v>
      </c>
      <c r="B5" s="3"/>
      <c r="C5" s="3"/>
    </row>
    <row r="6" spans="1:24" ht="3" customHeight="1" x14ac:dyDescent="0.2"/>
    <row r="7" spans="1:24" s="2" customFormat="1" x14ac:dyDescent="0.2">
      <c r="A7" s="14"/>
      <c r="B7" s="69">
        <v>2002</v>
      </c>
      <c r="C7" s="69">
        <v>2003</v>
      </c>
      <c r="D7" s="69">
        <v>2004</v>
      </c>
      <c r="E7" s="69">
        <v>2005</v>
      </c>
      <c r="F7" s="69">
        <v>2006</v>
      </c>
      <c r="G7" s="69">
        <v>2007</v>
      </c>
      <c r="H7" s="69">
        <v>2008</v>
      </c>
      <c r="I7" s="69">
        <v>2009</v>
      </c>
      <c r="J7" s="69">
        <v>2010</v>
      </c>
      <c r="K7" s="69">
        <v>2011</v>
      </c>
      <c r="L7" s="69">
        <v>2012</v>
      </c>
      <c r="M7" s="69">
        <v>2013</v>
      </c>
      <c r="N7" s="69">
        <v>2014</v>
      </c>
      <c r="O7" s="69">
        <v>2015</v>
      </c>
      <c r="P7" s="69">
        <v>2016</v>
      </c>
      <c r="Q7" s="69">
        <v>2017</v>
      </c>
      <c r="R7" s="69">
        <v>2018</v>
      </c>
      <c r="S7" s="69">
        <v>2019</v>
      </c>
      <c r="T7" s="69">
        <v>2020</v>
      </c>
      <c r="U7" s="69">
        <v>2021</v>
      </c>
      <c r="V7" s="69">
        <v>2022</v>
      </c>
      <c r="W7" s="69">
        <v>2023</v>
      </c>
      <c r="X7" s="69">
        <v>2024</v>
      </c>
    </row>
    <row r="8" spans="1:24" x14ac:dyDescent="0.2">
      <c r="A8" s="15" t="s">
        <v>72</v>
      </c>
      <c r="B8" s="8">
        <v>143</v>
      </c>
      <c r="C8" s="8">
        <v>146</v>
      </c>
      <c r="D8" s="8">
        <v>154</v>
      </c>
      <c r="E8" s="8">
        <v>152</v>
      </c>
      <c r="F8" s="8">
        <v>154</v>
      </c>
      <c r="G8" s="8">
        <v>157</v>
      </c>
      <c r="H8" s="8">
        <v>161</v>
      </c>
      <c r="I8" s="8">
        <v>156</v>
      </c>
      <c r="J8" s="8">
        <v>165</v>
      </c>
      <c r="K8" s="8">
        <v>166</v>
      </c>
      <c r="L8" s="8">
        <v>163</v>
      </c>
      <c r="M8" s="8">
        <v>166</v>
      </c>
      <c r="N8" s="8">
        <v>168</v>
      </c>
      <c r="O8" s="8">
        <v>177</v>
      </c>
      <c r="P8" s="8">
        <v>172</v>
      </c>
      <c r="Q8" s="8">
        <v>177</v>
      </c>
      <c r="R8" s="8">
        <v>181</v>
      </c>
      <c r="S8" s="8">
        <v>185</v>
      </c>
      <c r="T8" s="8">
        <v>186</v>
      </c>
      <c r="U8" s="8">
        <v>189</v>
      </c>
      <c r="V8" s="8">
        <v>180</v>
      </c>
      <c r="W8" s="8">
        <v>185</v>
      </c>
      <c r="X8" s="8">
        <v>189</v>
      </c>
    </row>
    <row r="9" spans="1:24" x14ac:dyDescent="0.2">
      <c r="A9" s="15" t="s">
        <v>73</v>
      </c>
      <c r="B9" s="8">
        <v>44</v>
      </c>
      <c r="C9" s="8">
        <v>46</v>
      </c>
      <c r="D9" s="8">
        <v>47</v>
      </c>
      <c r="E9" s="8">
        <v>50</v>
      </c>
      <c r="F9" s="8">
        <v>51</v>
      </c>
      <c r="G9" s="8">
        <v>50</v>
      </c>
      <c r="H9" s="8">
        <v>52</v>
      </c>
      <c r="I9" s="8">
        <v>45</v>
      </c>
      <c r="J9" s="8">
        <v>52</v>
      </c>
      <c r="K9" s="8">
        <v>51</v>
      </c>
      <c r="L9" s="8">
        <v>52</v>
      </c>
      <c r="M9" s="8">
        <v>54</v>
      </c>
      <c r="N9" s="8">
        <v>58</v>
      </c>
      <c r="O9" s="8">
        <v>61</v>
      </c>
      <c r="P9" s="8">
        <v>58</v>
      </c>
      <c r="Q9" s="8">
        <v>59</v>
      </c>
      <c r="R9" s="8">
        <v>57</v>
      </c>
      <c r="S9" s="8">
        <v>61</v>
      </c>
      <c r="T9" s="8">
        <v>63</v>
      </c>
      <c r="U9" s="8">
        <v>72</v>
      </c>
      <c r="V9" s="8">
        <v>72</v>
      </c>
      <c r="W9" s="8">
        <v>74</v>
      </c>
      <c r="X9" s="8">
        <v>75</v>
      </c>
    </row>
    <row r="10" spans="1:24" x14ac:dyDescent="0.2">
      <c r="A10" s="15" t="s">
        <v>1</v>
      </c>
      <c r="B10" s="8">
        <v>75</v>
      </c>
      <c r="C10" s="8">
        <v>80</v>
      </c>
      <c r="D10" s="8">
        <v>82</v>
      </c>
      <c r="E10" s="8">
        <v>85</v>
      </c>
      <c r="F10" s="8">
        <v>83</v>
      </c>
      <c r="G10" s="8">
        <v>85</v>
      </c>
      <c r="H10" s="8">
        <v>84</v>
      </c>
      <c r="I10" s="8">
        <v>76</v>
      </c>
      <c r="J10" s="8">
        <v>87</v>
      </c>
      <c r="K10" s="8">
        <v>87</v>
      </c>
      <c r="L10" s="8">
        <v>88</v>
      </c>
      <c r="M10" s="8">
        <v>93</v>
      </c>
      <c r="N10" s="8">
        <v>97</v>
      </c>
      <c r="O10" s="8">
        <v>97</v>
      </c>
      <c r="P10" s="8">
        <v>96</v>
      </c>
      <c r="Q10" s="8">
        <v>102</v>
      </c>
      <c r="R10" s="8">
        <v>100</v>
      </c>
      <c r="S10" s="8">
        <v>96</v>
      </c>
      <c r="T10" s="8">
        <v>95</v>
      </c>
      <c r="U10" s="8">
        <v>102</v>
      </c>
      <c r="V10" s="8">
        <v>102</v>
      </c>
      <c r="W10" s="8">
        <v>102</v>
      </c>
      <c r="X10" s="8">
        <v>99</v>
      </c>
    </row>
    <row r="11" spans="1:24" x14ac:dyDescent="0.2">
      <c r="A11" s="15" t="s">
        <v>74</v>
      </c>
      <c r="B11" s="8">
        <v>26</v>
      </c>
      <c r="C11" s="8">
        <v>28</v>
      </c>
      <c r="D11" s="8">
        <v>29</v>
      </c>
      <c r="E11" s="8">
        <v>34</v>
      </c>
      <c r="F11" s="8">
        <v>32</v>
      </c>
      <c r="G11" s="8">
        <v>33</v>
      </c>
      <c r="H11" s="8">
        <v>34</v>
      </c>
      <c r="I11" s="8">
        <v>30</v>
      </c>
      <c r="J11" s="8">
        <v>35</v>
      </c>
      <c r="K11" s="8">
        <v>37</v>
      </c>
      <c r="L11" s="8">
        <v>39</v>
      </c>
      <c r="M11" s="8">
        <v>41</v>
      </c>
      <c r="N11" s="8">
        <v>41</v>
      </c>
      <c r="O11" s="8">
        <v>41</v>
      </c>
      <c r="P11" s="8">
        <v>41</v>
      </c>
      <c r="Q11" s="8">
        <v>43</v>
      </c>
      <c r="R11" s="8">
        <v>39</v>
      </c>
      <c r="S11" s="8">
        <v>40</v>
      </c>
      <c r="T11" s="8">
        <v>43</v>
      </c>
      <c r="U11" s="8">
        <v>44</v>
      </c>
      <c r="V11" s="8">
        <v>43</v>
      </c>
      <c r="W11" s="8">
        <v>43</v>
      </c>
      <c r="X11" s="8">
        <v>44</v>
      </c>
    </row>
    <row r="12" spans="1:24" x14ac:dyDescent="0.2">
      <c r="A12" s="15" t="s">
        <v>5</v>
      </c>
      <c r="B12" s="8">
        <v>5</v>
      </c>
      <c r="C12" s="8">
        <v>4</v>
      </c>
      <c r="D12" s="8">
        <v>5</v>
      </c>
      <c r="E12" s="8">
        <v>5</v>
      </c>
      <c r="F12" s="8">
        <v>4</v>
      </c>
      <c r="G12" s="8">
        <v>5</v>
      </c>
      <c r="H12" s="8">
        <v>4</v>
      </c>
      <c r="I12" s="8">
        <v>1</v>
      </c>
      <c r="J12" s="8">
        <v>1</v>
      </c>
      <c r="K12" s="8">
        <v>2</v>
      </c>
      <c r="L12" s="8">
        <v>3</v>
      </c>
      <c r="M12" s="8">
        <v>2</v>
      </c>
      <c r="N12" s="8">
        <v>2</v>
      </c>
      <c r="O12" s="8">
        <v>2</v>
      </c>
      <c r="P12" s="8">
        <v>2</v>
      </c>
      <c r="Q12" s="8">
        <v>3</v>
      </c>
      <c r="R12" s="8">
        <v>3</v>
      </c>
      <c r="S12" s="8">
        <v>3</v>
      </c>
      <c r="T12" s="8">
        <v>3</v>
      </c>
      <c r="U12" s="8">
        <v>6</v>
      </c>
      <c r="V12" s="8">
        <v>5</v>
      </c>
      <c r="W12" s="8">
        <v>6</v>
      </c>
      <c r="X12" s="8">
        <v>7</v>
      </c>
    </row>
    <row r="13" spans="1:24" x14ac:dyDescent="0.2">
      <c r="A13" s="15" t="s">
        <v>77</v>
      </c>
      <c r="B13" s="8">
        <v>56</v>
      </c>
      <c r="C13" s="8">
        <v>54</v>
      </c>
      <c r="D13" s="8">
        <v>58</v>
      </c>
      <c r="E13" s="8">
        <v>55</v>
      </c>
      <c r="F13" s="8">
        <v>57</v>
      </c>
      <c r="G13" s="8">
        <v>58</v>
      </c>
      <c r="H13" s="8">
        <v>56</v>
      </c>
      <c r="I13" s="8">
        <v>55</v>
      </c>
      <c r="J13" s="8">
        <v>55</v>
      </c>
      <c r="K13" s="8">
        <v>58</v>
      </c>
      <c r="L13" s="8">
        <v>63</v>
      </c>
      <c r="M13" s="8">
        <v>61</v>
      </c>
      <c r="N13" s="8">
        <v>62</v>
      </c>
      <c r="O13" s="8">
        <v>65</v>
      </c>
      <c r="P13" s="8">
        <v>66</v>
      </c>
      <c r="Q13" s="8">
        <v>68</v>
      </c>
      <c r="R13" s="8">
        <v>64</v>
      </c>
      <c r="S13" s="8">
        <v>64</v>
      </c>
      <c r="T13" s="8">
        <v>69</v>
      </c>
      <c r="U13" s="8">
        <v>71</v>
      </c>
      <c r="V13" s="8">
        <v>72</v>
      </c>
      <c r="W13" s="8">
        <v>72</v>
      </c>
      <c r="X13" s="8">
        <v>66</v>
      </c>
    </row>
    <row r="14" spans="1:24" x14ac:dyDescent="0.2">
      <c r="A14" s="15" t="s">
        <v>78</v>
      </c>
      <c r="B14" s="8">
        <v>56</v>
      </c>
      <c r="C14" s="8">
        <v>47</v>
      </c>
      <c r="D14" s="8">
        <v>49</v>
      </c>
      <c r="E14" s="8">
        <v>45</v>
      </c>
      <c r="F14" s="8">
        <v>47</v>
      </c>
      <c r="G14" s="8">
        <v>50</v>
      </c>
      <c r="H14" s="8">
        <v>51</v>
      </c>
      <c r="I14" s="8">
        <v>39</v>
      </c>
      <c r="J14" s="8">
        <v>44</v>
      </c>
      <c r="K14" s="8">
        <v>44</v>
      </c>
      <c r="L14" s="8">
        <v>46</v>
      </c>
      <c r="M14" s="8">
        <v>46</v>
      </c>
      <c r="N14" s="8">
        <v>48</v>
      </c>
      <c r="O14" s="8">
        <v>46</v>
      </c>
      <c r="P14" s="8">
        <v>51</v>
      </c>
      <c r="Q14" s="8">
        <v>49</v>
      </c>
      <c r="R14" s="8">
        <v>45</v>
      </c>
      <c r="S14" s="8">
        <v>46</v>
      </c>
      <c r="T14" s="8">
        <v>52</v>
      </c>
      <c r="U14" s="8">
        <v>56</v>
      </c>
      <c r="V14" s="8">
        <v>54</v>
      </c>
      <c r="W14" s="8">
        <v>57</v>
      </c>
      <c r="X14" s="8">
        <v>53</v>
      </c>
    </row>
    <row r="15" spans="1:24" x14ac:dyDescent="0.2">
      <c r="A15" s="15" t="s">
        <v>2</v>
      </c>
      <c r="B15" s="8">
        <v>148</v>
      </c>
      <c r="C15" s="8">
        <v>146</v>
      </c>
      <c r="D15" s="8">
        <v>155</v>
      </c>
      <c r="E15" s="8">
        <v>161</v>
      </c>
      <c r="F15" s="8">
        <v>161</v>
      </c>
      <c r="G15" s="8">
        <v>155</v>
      </c>
      <c r="H15" s="8">
        <v>142</v>
      </c>
      <c r="I15" s="8">
        <v>142</v>
      </c>
      <c r="J15" s="8">
        <v>153</v>
      </c>
      <c r="K15" s="8">
        <v>156</v>
      </c>
      <c r="L15" s="8">
        <v>154</v>
      </c>
      <c r="M15" s="8">
        <v>156</v>
      </c>
      <c r="N15" s="8">
        <v>157</v>
      </c>
      <c r="O15" s="8">
        <v>156</v>
      </c>
      <c r="P15" s="8">
        <v>153</v>
      </c>
      <c r="Q15" s="8">
        <v>155</v>
      </c>
      <c r="R15" s="8">
        <v>151</v>
      </c>
      <c r="S15" s="8">
        <v>162</v>
      </c>
      <c r="T15" s="8">
        <v>162</v>
      </c>
      <c r="U15" s="8">
        <v>166</v>
      </c>
      <c r="V15" s="8">
        <v>165</v>
      </c>
      <c r="W15" s="8">
        <v>168</v>
      </c>
      <c r="X15" s="8">
        <v>167</v>
      </c>
    </row>
    <row r="16" spans="1:24" x14ac:dyDescent="0.2">
      <c r="A16" s="15" t="s">
        <v>75</v>
      </c>
      <c r="B16" s="8">
        <v>47</v>
      </c>
      <c r="C16" s="8">
        <v>51</v>
      </c>
      <c r="D16" s="8">
        <v>51</v>
      </c>
      <c r="E16" s="8">
        <v>57</v>
      </c>
      <c r="F16" s="8">
        <v>57</v>
      </c>
      <c r="G16" s="8">
        <v>55</v>
      </c>
      <c r="H16" s="8">
        <v>53</v>
      </c>
      <c r="I16" s="8">
        <v>52</v>
      </c>
      <c r="J16" s="8">
        <v>57</v>
      </c>
      <c r="K16" s="8">
        <v>60</v>
      </c>
      <c r="L16" s="8">
        <v>62</v>
      </c>
      <c r="M16" s="8">
        <v>62</v>
      </c>
      <c r="N16" s="8">
        <v>61</v>
      </c>
      <c r="O16" s="8">
        <v>59</v>
      </c>
      <c r="P16" s="8">
        <v>59</v>
      </c>
      <c r="Q16" s="8">
        <v>64</v>
      </c>
      <c r="R16" s="8">
        <v>58</v>
      </c>
      <c r="S16" s="8">
        <v>59</v>
      </c>
      <c r="T16" s="8">
        <v>66</v>
      </c>
      <c r="U16" s="8">
        <v>68</v>
      </c>
      <c r="V16" s="8">
        <v>68</v>
      </c>
      <c r="W16" s="8">
        <v>69</v>
      </c>
      <c r="X16" s="8">
        <v>68</v>
      </c>
    </row>
    <row r="17" spans="1:24" x14ac:dyDescent="0.2">
      <c r="A17" s="15" t="s">
        <v>79</v>
      </c>
      <c r="B17" s="8">
        <v>137</v>
      </c>
      <c r="C17" s="8">
        <v>129</v>
      </c>
      <c r="D17" s="8">
        <v>142</v>
      </c>
      <c r="E17" s="8">
        <v>145</v>
      </c>
      <c r="F17" s="8">
        <v>151</v>
      </c>
      <c r="G17" s="8">
        <v>153</v>
      </c>
      <c r="H17" s="8">
        <v>148</v>
      </c>
      <c r="I17" s="8">
        <v>140</v>
      </c>
      <c r="J17" s="8">
        <v>143</v>
      </c>
      <c r="K17" s="8">
        <v>144</v>
      </c>
      <c r="L17" s="8">
        <v>152</v>
      </c>
      <c r="M17" s="8">
        <v>157</v>
      </c>
      <c r="N17" s="8">
        <v>160</v>
      </c>
      <c r="O17" s="8">
        <v>160</v>
      </c>
      <c r="P17" s="8">
        <v>165</v>
      </c>
      <c r="Q17" s="8">
        <v>169</v>
      </c>
      <c r="R17" s="8">
        <v>163</v>
      </c>
      <c r="S17" s="8">
        <v>171</v>
      </c>
      <c r="T17" s="8">
        <v>171</v>
      </c>
      <c r="U17" s="8">
        <v>179</v>
      </c>
      <c r="V17" s="8">
        <v>178</v>
      </c>
      <c r="W17" s="8">
        <v>179</v>
      </c>
      <c r="X17" s="8">
        <v>179</v>
      </c>
    </row>
    <row r="18" spans="1:24" x14ac:dyDescent="0.2">
      <c r="A18" s="15" t="s">
        <v>80</v>
      </c>
      <c r="B18" s="8">
        <v>104</v>
      </c>
      <c r="C18" s="8">
        <v>106</v>
      </c>
      <c r="D18" s="8">
        <v>119</v>
      </c>
      <c r="E18" s="8">
        <v>124</v>
      </c>
      <c r="F18" s="8">
        <v>122</v>
      </c>
      <c r="G18" s="8">
        <v>129</v>
      </c>
      <c r="H18" s="8">
        <v>122</v>
      </c>
      <c r="I18" s="8">
        <v>115</v>
      </c>
      <c r="J18" s="8">
        <v>120</v>
      </c>
      <c r="K18" s="8">
        <v>125</v>
      </c>
      <c r="L18" s="8">
        <v>134</v>
      </c>
      <c r="M18" s="8">
        <v>139</v>
      </c>
      <c r="N18" s="8">
        <v>138</v>
      </c>
      <c r="O18" s="8">
        <v>140</v>
      </c>
      <c r="P18" s="8">
        <v>146</v>
      </c>
      <c r="Q18" s="8">
        <v>150</v>
      </c>
      <c r="R18" s="8">
        <v>150</v>
      </c>
      <c r="S18" s="8">
        <v>151</v>
      </c>
      <c r="T18" s="8">
        <v>150</v>
      </c>
      <c r="U18" s="8">
        <v>156</v>
      </c>
      <c r="V18" s="8">
        <v>155</v>
      </c>
      <c r="W18" s="8">
        <v>155</v>
      </c>
      <c r="X18" s="8">
        <v>161</v>
      </c>
    </row>
    <row r="19" spans="1:24" x14ac:dyDescent="0.2">
      <c r="A19" s="15" t="s">
        <v>3</v>
      </c>
      <c r="B19" s="8">
        <v>63</v>
      </c>
      <c r="C19" s="8">
        <v>66</v>
      </c>
      <c r="D19" s="8">
        <v>67</v>
      </c>
      <c r="E19" s="8">
        <v>66</v>
      </c>
      <c r="F19" s="8">
        <v>62</v>
      </c>
      <c r="G19" s="8">
        <v>66</v>
      </c>
      <c r="H19" s="8">
        <v>59</v>
      </c>
      <c r="I19" s="8">
        <v>58</v>
      </c>
      <c r="J19" s="8">
        <v>70</v>
      </c>
      <c r="K19" s="8">
        <v>70</v>
      </c>
      <c r="L19" s="8">
        <v>73</v>
      </c>
      <c r="M19" s="8">
        <v>71</v>
      </c>
      <c r="N19" s="8">
        <v>77</v>
      </c>
      <c r="O19" s="8">
        <v>77</v>
      </c>
      <c r="P19" s="8">
        <v>77</v>
      </c>
      <c r="Q19" s="8">
        <v>82</v>
      </c>
      <c r="R19" s="8">
        <v>82</v>
      </c>
      <c r="S19" s="8">
        <v>86</v>
      </c>
      <c r="T19" s="8">
        <v>84</v>
      </c>
      <c r="U19" s="8">
        <v>88</v>
      </c>
      <c r="V19" s="8">
        <v>87</v>
      </c>
      <c r="W19" s="8">
        <v>88</v>
      </c>
      <c r="X19" s="8">
        <v>90</v>
      </c>
    </row>
    <row r="20" spans="1:24" x14ac:dyDescent="0.2">
      <c r="A20" s="15" t="s">
        <v>4</v>
      </c>
      <c r="B20" s="8">
        <v>64</v>
      </c>
      <c r="C20" s="8">
        <v>67</v>
      </c>
      <c r="D20" s="8">
        <v>68</v>
      </c>
      <c r="E20" s="8">
        <v>75</v>
      </c>
      <c r="F20" s="8">
        <v>77</v>
      </c>
      <c r="G20" s="8">
        <v>74</v>
      </c>
      <c r="H20" s="8">
        <v>74</v>
      </c>
      <c r="I20" s="8">
        <v>75</v>
      </c>
      <c r="J20" s="8">
        <v>76</v>
      </c>
      <c r="K20" s="8">
        <v>75</v>
      </c>
      <c r="L20" s="8">
        <v>76</v>
      </c>
      <c r="M20" s="8">
        <v>79</v>
      </c>
      <c r="N20" s="8">
        <v>76</v>
      </c>
      <c r="O20" s="8">
        <v>77</v>
      </c>
      <c r="P20" s="8">
        <v>77</v>
      </c>
      <c r="Q20" s="8">
        <v>83</v>
      </c>
      <c r="R20" s="8">
        <v>86</v>
      </c>
      <c r="S20" s="8">
        <v>93</v>
      </c>
      <c r="T20" s="8">
        <v>93</v>
      </c>
      <c r="U20" s="8">
        <v>93</v>
      </c>
      <c r="V20" s="8">
        <v>93</v>
      </c>
      <c r="W20" s="8">
        <v>96</v>
      </c>
      <c r="X20" s="8">
        <v>92</v>
      </c>
    </row>
    <row r="21" spans="1:24" s="2" customFormat="1" x14ac:dyDescent="0.2">
      <c r="A21" s="9" t="s">
        <v>0</v>
      </c>
      <c r="B21" s="10">
        <v>968</v>
      </c>
      <c r="C21" s="10">
        <v>970</v>
      </c>
      <c r="D21" s="10">
        <v>1026</v>
      </c>
      <c r="E21" s="10">
        <v>1054</v>
      </c>
      <c r="F21" s="10">
        <v>1058</v>
      </c>
      <c r="G21" s="10">
        <v>1070</v>
      </c>
      <c r="H21" s="10">
        <v>1040</v>
      </c>
      <c r="I21" s="10">
        <v>984</v>
      </c>
      <c r="J21" s="10">
        <v>1058</v>
      </c>
      <c r="K21" s="10">
        <v>1075</v>
      </c>
      <c r="L21" s="10">
        <v>1105</v>
      </c>
      <c r="M21" s="10">
        <v>1127</v>
      </c>
      <c r="N21" s="10">
        <v>1145</v>
      </c>
      <c r="O21" s="10">
        <v>1158</v>
      </c>
      <c r="P21" s="10">
        <v>1163</v>
      </c>
      <c r="Q21" s="10">
        <v>1204</v>
      </c>
      <c r="R21" s="10">
        <v>1179</v>
      </c>
      <c r="S21" s="10">
        <v>1217</v>
      </c>
      <c r="T21" s="10">
        <v>1237</v>
      </c>
      <c r="U21" s="10">
        <v>1290</v>
      </c>
      <c r="V21" s="10">
        <v>1274</v>
      </c>
      <c r="W21" s="10">
        <v>1294</v>
      </c>
      <c r="X21" s="10">
        <v>1290</v>
      </c>
    </row>
  </sheetData>
  <phoneticPr fontId="1" type="noConversion"/>
  <hyperlinks>
    <hyperlink ref="A2" location="Sommaire!A1" display="Retour au menu &quot;Exploitation des films&quot;" xr:uid="{00000000-0004-0000-0D00-000000000000}"/>
  </hyperlinks>
  <pageMargins left="0.78740157499999996" right="0.78740157499999996" top="0.984251969" bottom="0.984251969" header="0.4921259845" footer="0.492125984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21"/>
  <sheetViews>
    <sheetView workbookViewId="0"/>
  </sheetViews>
  <sheetFormatPr baseColWidth="10" defaultColWidth="5.5703125" defaultRowHeight="12" x14ac:dyDescent="0.2"/>
  <cols>
    <col min="1" max="1" width="30.42578125" style="46" customWidth="1"/>
    <col min="2" max="4" width="5.42578125" style="46" bestFit="1" customWidth="1"/>
    <col min="5" max="18" width="5.42578125" style="47" bestFit="1" customWidth="1"/>
    <col min="19" max="19" width="5.42578125" style="46" bestFit="1" customWidth="1"/>
    <col min="20"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row>
    <row r="3" spans="1:24" s="36" customFormat="1" ht="12.75" x14ac:dyDescent="0.2">
      <c r="D3" s="37"/>
      <c r="E3" s="37"/>
      <c r="F3" s="37"/>
      <c r="G3" s="37"/>
      <c r="H3" s="37"/>
      <c r="I3" s="37"/>
      <c r="J3" s="37"/>
      <c r="K3" s="37"/>
      <c r="L3" s="37"/>
      <c r="M3" s="37"/>
      <c r="N3" s="37"/>
      <c r="O3" s="37"/>
      <c r="P3" s="37"/>
      <c r="Q3" s="37"/>
      <c r="R3" s="37"/>
      <c r="S3" s="37"/>
      <c r="T3" s="37"/>
      <c r="U3" s="37"/>
      <c r="V3" s="37"/>
    </row>
    <row r="4" spans="1:24" s="36" customFormat="1" ht="12.75" x14ac:dyDescent="0.2">
      <c r="D4" s="37"/>
      <c r="E4" s="37"/>
      <c r="F4" s="37"/>
      <c r="G4" s="37"/>
      <c r="H4" s="37"/>
      <c r="I4" s="37"/>
      <c r="J4" s="37"/>
      <c r="K4" s="37"/>
      <c r="L4" s="37"/>
      <c r="M4" s="37"/>
      <c r="N4" s="37"/>
      <c r="O4" s="37"/>
      <c r="P4" s="37"/>
      <c r="Q4" s="37"/>
      <c r="R4" s="37"/>
      <c r="S4" s="37"/>
      <c r="T4" s="37"/>
      <c r="U4" s="37"/>
      <c r="V4" s="37"/>
    </row>
    <row r="5" spans="1:24" ht="12.75" x14ac:dyDescent="0.2">
      <c r="A5" s="45" t="s">
        <v>46</v>
      </c>
      <c r="B5" s="45"/>
      <c r="C5" s="45"/>
    </row>
    <row r="6" spans="1:24" ht="3" customHeight="1" x14ac:dyDescent="0.2"/>
    <row r="7" spans="1:24" s="48" customFormat="1" x14ac:dyDescent="0.2">
      <c r="A7" s="5"/>
      <c r="B7" s="6">
        <v>2002</v>
      </c>
      <c r="C7" s="6">
        <v>2003</v>
      </c>
      <c r="D7" s="6">
        <v>2004</v>
      </c>
      <c r="E7" s="6">
        <v>2005</v>
      </c>
      <c r="F7" s="6">
        <v>2006</v>
      </c>
      <c r="G7" s="6">
        <v>2007</v>
      </c>
      <c r="H7" s="6">
        <v>2008</v>
      </c>
      <c r="I7" s="6">
        <v>2009</v>
      </c>
      <c r="J7" s="6">
        <v>2010</v>
      </c>
      <c r="K7" s="6">
        <v>2011</v>
      </c>
      <c r="L7" s="6">
        <v>2012</v>
      </c>
      <c r="M7" s="6">
        <v>2013</v>
      </c>
      <c r="N7" s="6">
        <v>2014</v>
      </c>
      <c r="O7" s="6">
        <v>2015</v>
      </c>
      <c r="P7" s="6">
        <v>2016</v>
      </c>
      <c r="Q7" s="6">
        <v>2017</v>
      </c>
      <c r="R7" s="6">
        <v>2018</v>
      </c>
      <c r="S7" s="6">
        <v>2019</v>
      </c>
      <c r="T7" s="6">
        <v>2020</v>
      </c>
      <c r="U7" s="6">
        <v>2021</v>
      </c>
      <c r="V7" s="6">
        <v>2022</v>
      </c>
      <c r="W7" s="6">
        <v>2023</v>
      </c>
      <c r="X7" s="6">
        <v>2024</v>
      </c>
    </row>
    <row r="8" spans="1:24" x14ac:dyDescent="0.2">
      <c r="A8" s="7" t="s">
        <v>72</v>
      </c>
      <c r="B8" s="8">
        <v>262</v>
      </c>
      <c r="C8" s="8">
        <v>264</v>
      </c>
      <c r="D8" s="8">
        <v>289</v>
      </c>
      <c r="E8" s="8">
        <v>286</v>
      </c>
      <c r="F8" s="8">
        <v>292</v>
      </c>
      <c r="G8" s="8">
        <v>296</v>
      </c>
      <c r="H8" s="8">
        <v>290</v>
      </c>
      <c r="I8" s="8">
        <v>297</v>
      </c>
      <c r="J8" s="8">
        <v>297</v>
      </c>
      <c r="K8" s="8">
        <v>304</v>
      </c>
      <c r="L8" s="8">
        <v>294</v>
      </c>
      <c r="M8" s="8">
        <v>305</v>
      </c>
      <c r="N8" s="8">
        <v>319</v>
      </c>
      <c r="O8" s="8">
        <v>341</v>
      </c>
      <c r="P8" s="8">
        <v>323</v>
      </c>
      <c r="Q8" s="8">
        <v>356</v>
      </c>
      <c r="R8" s="8">
        <v>374</v>
      </c>
      <c r="S8" s="8">
        <v>391</v>
      </c>
      <c r="T8" s="8">
        <v>393</v>
      </c>
      <c r="U8" s="8">
        <v>400</v>
      </c>
      <c r="V8" s="8">
        <v>397</v>
      </c>
      <c r="W8" s="8">
        <v>406</v>
      </c>
      <c r="X8" s="8">
        <v>412</v>
      </c>
    </row>
    <row r="9" spans="1:24" x14ac:dyDescent="0.2">
      <c r="A9" s="7" t="s">
        <v>73</v>
      </c>
      <c r="B9" s="8">
        <v>119</v>
      </c>
      <c r="C9" s="8">
        <v>114</v>
      </c>
      <c r="D9" s="8">
        <v>119</v>
      </c>
      <c r="E9" s="8">
        <v>134</v>
      </c>
      <c r="F9" s="8">
        <v>128</v>
      </c>
      <c r="G9" s="8">
        <v>138</v>
      </c>
      <c r="H9" s="8">
        <v>144</v>
      </c>
      <c r="I9" s="8">
        <v>131</v>
      </c>
      <c r="J9" s="8">
        <v>143</v>
      </c>
      <c r="K9" s="8">
        <v>143</v>
      </c>
      <c r="L9" s="8">
        <v>137</v>
      </c>
      <c r="M9" s="8">
        <v>142</v>
      </c>
      <c r="N9" s="8">
        <v>155</v>
      </c>
      <c r="O9" s="8">
        <v>160</v>
      </c>
      <c r="P9" s="8">
        <v>146</v>
      </c>
      <c r="Q9" s="8">
        <v>152</v>
      </c>
      <c r="R9" s="8">
        <v>144</v>
      </c>
      <c r="S9" s="8">
        <v>156</v>
      </c>
      <c r="T9" s="8">
        <v>166</v>
      </c>
      <c r="U9" s="8">
        <v>179</v>
      </c>
      <c r="V9" s="8">
        <v>179</v>
      </c>
      <c r="W9" s="8">
        <v>195</v>
      </c>
      <c r="X9" s="8">
        <v>192</v>
      </c>
    </row>
    <row r="10" spans="1:24" x14ac:dyDescent="0.2">
      <c r="A10" s="7" t="s">
        <v>1</v>
      </c>
      <c r="B10" s="8">
        <v>122</v>
      </c>
      <c r="C10" s="8">
        <v>129</v>
      </c>
      <c r="D10" s="8">
        <v>131</v>
      </c>
      <c r="E10" s="8">
        <v>132</v>
      </c>
      <c r="F10" s="8">
        <v>136</v>
      </c>
      <c r="G10" s="8">
        <v>141</v>
      </c>
      <c r="H10" s="8">
        <v>149</v>
      </c>
      <c r="I10" s="8">
        <v>145</v>
      </c>
      <c r="J10" s="8">
        <v>156</v>
      </c>
      <c r="K10" s="8">
        <v>156</v>
      </c>
      <c r="L10" s="8">
        <v>157</v>
      </c>
      <c r="M10" s="8">
        <v>164</v>
      </c>
      <c r="N10" s="8">
        <v>169</v>
      </c>
      <c r="O10" s="8">
        <v>171</v>
      </c>
      <c r="P10" s="8">
        <v>178</v>
      </c>
      <c r="Q10" s="8">
        <v>185</v>
      </c>
      <c r="R10" s="8">
        <v>187</v>
      </c>
      <c r="S10" s="8">
        <v>181</v>
      </c>
      <c r="T10" s="8">
        <v>180</v>
      </c>
      <c r="U10" s="8">
        <v>201</v>
      </c>
      <c r="V10" s="8">
        <v>201</v>
      </c>
      <c r="W10" s="8">
        <v>205</v>
      </c>
      <c r="X10" s="8">
        <v>188</v>
      </c>
    </row>
    <row r="11" spans="1:24" x14ac:dyDescent="0.2">
      <c r="A11" s="7" t="s">
        <v>74</v>
      </c>
      <c r="B11" s="8">
        <v>54</v>
      </c>
      <c r="C11" s="8">
        <v>53</v>
      </c>
      <c r="D11" s="8">
        <v>53</v>
      </c>
      <c r="E11" s="8">
        <v>64</v>
      </c>
      <c r="F11" s="8">
        <v>67</v>
      </c>
      <c r="G11" s="8">
        <v>75</v>
      </c>
      <c r="H11" s="8">
        <v>78</v>
      </c>
      <c r="I11" s="8">
        <v>73</v>
      </c>
      <c r="J11" s="8">
        <v>95</v>
      </c>
      <c r="K11" s="8">
        <v>101</v>
      </c>
      <c r="L11" s="8">
        <v>103</v>
      </c>
      <c r="M11" s="8">
        <v>103</v>
      </c>
      <c r="N11" s="8">
        <v>105</v>
      </c>
      <c r="O11" s="8">
        <v>106</v>
      </c>
      <c r="P11" s="8">
        <v>106</v>
      </c>
      <c r="Q11" s="8">
        <v>109</v>
      </c>
      <c r="R11" s="8">
        <v>104</v>
      </c>
      <c r="S11" s="8">
        <v>94</v>
      </c>
      <c r="T11" s="8">
        <v>109</v>
      </c>
      <c r="U11" s="8">
        <v>113</v>
      </c>
      <c r="V11" s="8">
        <v>112</v>
      </c>
      <c r="W11" s="8">
        <v>112</v>
      </c>
      <c r="X11" s="8">
        <v>111</v>
      </c>
    </row>
    <row r="12" spans="1:24" x14ac:dyDescent="0.2">
      <c r="A12" s="7" t="s">
        <v>5</v>
      </c>
      <c r="B12" s="8">
        <v>11</v>
      </c>
      <c r="C12" s="8">
        <v>10</v>
      </c>
      <c r="D12" s="8">
        <v>11</v>
      </c>
      <c r="E12" s="8">
        <v>11</v>
      </c>
      <c r="F12" s="8">
        <v>9</v>
      </c>
      <c r="G12" s="8">
        <v>11</v>
      </c>
      <c r="H12" s="8">
        <v>7</v>
      </c>
      <c r="I12" s="8">
        <v>2</v>
      </c>
      <c r="J12" s="8">
        <v>2</v>
      </c>
      <c r="K12" s="8">
        <v>3</v>
      </c>
      <c r="L12" s="8">
        <v>4</v>
      </c>
      <c r="M12" s="8">
        <v>3</v>
      </c>
      <c r="N12" s="8">
        <v>3</v>
      </c>
      <c r="O12" s="8">
        <v>3</v>
      </c>
      <c r="P12" s="8">
        <v>3</v>
      </c>
      <c r="Q12" s="8">
        <v>9</v>
      </c>
      <c r="R12" s="8">
        <v>9</v>
      </c>
      <c r="S12" s="8">
        <v>9</v>
      </c>
      <c r="T12" s="8">
        <v>9</v>
      </c>
      <c r="U12" s="8">
        <v>17</v>
      </c>
      <c r="V12" s="8">
        <v>15</v>
      </c>
      <c r="W12" s="8">
        <v>17</v>
      </c>
      <c r="X12" s="8">
        <v>21</v>
      </c>
    </row>
    <row r="13" spans="1:24" x14ac:dyDescent="0.2">
      <c r="A13" s="7" t="s">
        <v>77</v>
      </c>
      <c r="B13" s="8">
        <v>135</v>
      </c>
      <c r="C13" s="8">
        <v>136</v>
      </c>
      <c r="D13" s="8">
        <v>150</v>
      </c>
      <c r="E13" s="8">
        <v>153</v>
      </c>
      <c r="F13" s="8">
        <v>166</v>
      </c>
      <c r="G13" s="8">
        <v>158</v>
      </c>
      <c r="H13" s="8">
        <v>156</v>
      </c>
      <c r="I13" s="8">
        <v>155</v>
      </c>
      <c r="J13" s="8">
        <v>161</v>
      </c>
      <c r="K13" s="8">
        <v>156</v>
      </c>
      <c r="L13" s="8">
        <v>166</v>
      </c>
      <c r="M13" s="8">
        <v>160</v>
      </c>
      <c r="N13" s="8">
        <v>172</v>
      </c>
      <c r="O13" s="8">
        <v>186</v>
      </c>
      <c r="P13" s="8">
        <v>192</v>
      </c>
      <c r="Q13" s="8">
        <v>196</v>
      </c>
      <c r="R13" s="8">
        <v>189</v>
      </c>
      <c r="S13" s="8">
        <v>194</v>
      </c>
      <c r="T13" s="8">
        <v>224</v>
      </c>
      <c r="U13" s="8">
        <v>220</v>
      </c>
      <c r="V13" s="8">
        <v>210</v>
      </c>
      <c r="W13" s="8">
        <v>215</v>
      </c>
      <c r="X13" s="8">
        <v>200</v>
      </c>
    </row>
    <row r="14" spans="1:24" x14ac:dyDescent="0.2">
      <c r="A14" s="7" t="s">
        <v>78</v>
      </c>
      <c r="B14" s="8">
        <v>136</v>
      </c>
      <c r="C14" s="8">
        <v>116</v>
      </c>
      <c r="D14" s="8">
        <v>124</v>
      </c>
      <c r="E14" s="8">
        <v>115</v>
      </c>
      <c r="F14" s="8">
        <v>132</v>
      </c>
      <c r="G14" s="8">
        <v>160</v>
      </c>
      <c r="H14" s="8">
        <v>153</v>
      </c>
      <c r="I14" s="8">
        <v>130</v>
      </c>
      <c r="J14" s="8">
        <v>148</v>
      </c>
      <c r="K14" s="8">
        <v>148</v>
      </c>
      <c r="L14" s="8">
        <v>147</v>
      </c>
      <c r="M14" s="8">
        <v>139</v>
      </c>
      <c r="N14" s="8">
        <v>159</v>
      </c>
      <c r="O14" s="8">
        <v>163</v>
      </c>
      <c r="P14" s="8">
        <v>173</v>
      </c>
      <c r="Q14" s="8">
        <v>178</v>
      </c>
      <c r="R14" s="8">
        <v>162</v>
      </c>
      <c r="S14" s="8">
        <v>139</v>
      </c>
      <c r="T14" s="8">
        <v>162</v>
      </c>
      <c r="U14" s="8">
        <v>176</v>
      </c>
      <c r="V14" s="8">
        <v>176</v>
      </c>
      <c r="W14" s="8">
        <v>178</v>
      </c>
      <c r="X14" s="8">
        <v>157</v>
      </c>
    </row>
    <row r="15" spans="1:24" x14ac:dyDescent="0.2">
      <c r="A15" s="7" t="s">
        <v>2</v>
      </c>
      <c r="B15" s="8">
        <v>301</v>
      </c>
      <c r="C15" s="8">
        <v>293</v>
      </c>
      <c r="D15" s="8">
        <v>302</v>
      </c>
      <c r="E15" s="8">
        <v>317</v>
      </c>
      <c r="F15" s="8">
        <v>325</v>
      </c>
      <c r="G15" s="8">
        <v>318</v>
      </c>
      <c r="H15" s="8">
        <v>302</v>
      </c>
      <c r="I15" s="8">
        <v>298</v>
      </c>
      <c r="J15" s="8">
        <v>311</v>
      </c>
      <c r="K15" s="8">
        <v>332</v>
      </c>
      <c r="L15" s="8">
        <v>324</v>
      </c>
      <c r="M15" s="8">
        <v>320</v>
      </c>
      <c r="N15" s="8">
        <v>328</v>
      </c>
      <c r="O15" s="8">
        <v>316</v>
      </c>
      <c r="P15" s="8">
        <v>322</v>
      </c>
      <c r="Q15" s="8">
        <v>323</v>
      </c>
      <c r="R15" s="8">
        <v>315</v>
      </c>
      <c r="S15" s="8">
        <v>348</v>
      </c>
      <c r="T15" s="8">
        <v>352</v>
      </c>
      <c r="U15" s="8">
        <v>364</v>
      </c>
      <c r="V15" s="8">
        <v>366</v>
      </c>
      <c r="W15" s="8">
        <v>372</v>
      </c>
      <c r="X15" s="8">
        <v>367</v>
      </c>
    </row>
    <row r="16" spans="1:24" x14ac:dyDescent="0.2">
      <c r="A16" s="7" t="s">
        <v>75</v>
      </c>
      <c r="B16" s="8">
        <v>99</v>
      </c>
      <c r="C16" s="8">
        <v>116</v>
      </c>
      <c r="D16" s="8">
        <v>118</v>
      </c>
      <c r="E16" s="8">
        <v>122</v>
      </c>
      <c r="F16" s="8">
        <v>126</v>
      </c>
      <c r="G16" s="8">
        <v>127</v>
      </c>
      <c r="H16" s="8">
        <v>121</v>
      </c>
      <c r="I16" s="8">
        <v>124</v>
      </c>
      <c r="J16" s="8">
        <v>130</v>
      </c>
      <c r="K16" s="8">
        <v>133</v>
      </c>
      <c r="L16" s="8">
        <v>139</v>
      </c>
      <c r="M16" s="8">
        <v>136</v>
      </c>
      <c r="N16" s="8">
        <v>134</v>
      </c>
      <c r="O16" s="8">
        <v>129</v>
      </c>
      <c r="P16" s="8">
        <v>127</v>
      </c>
      <c r="Q16" s="8">
        <v>135</v>
      </c>
      <c r="R16" s="8">
        <v>130</v>
      </c>
      <c r="S16" s="8">
        <v>118</v>
      </c>
      <c r="T16" s="8">
        <v>143</v>
      </c>
      <c r="U16" s="8">
        <v>150</v>
      </c>
      <c r="V16" s="8">
        <v>157</v>
      </c>
      <c r="W16" s="8">
        <v>161</v>
      </c>
      <c r="X16" s="8">
        <v>165</v>
      </c>
    </row>
    <row r="17" spans="1:24" x14ac:dyDescent="0.2">
      <c r="A17" s="7" t="s">
        <v>79</v>
      </c>
      <c r="B17" s="8">
        <v>229</v>
      </c>
      <c r="C17" s="8">
        <v>213</v>
      </c>
      <c r="D17" s="8">
        <v>227</v>
      </c>
      <c r="E17" s="8">
        <v>251</v>
      </c>
      <c r="F17" s="8">
        <v>252</v>
      </c>
      <c r="G17" s="8">
        <v>269</v>
      </c>
      <c r="H17" s="8">
        <v>265</v>
      </c>
      <c r="I17" s="8">
        <v>247</v>
      </c>
      <c r="J17" s="8">
        <v>253</v>
      </c>
      <c r="K17" s="8">
        <v>259</v>
      </c>
      <c r="L17" s="8">
        <v>273</v>
      </c>
      <c r="M17" s="8">
        <v>286</v>
      </c>
      <c r="N17" s="8">
        <v>291</v>
      </c>
      <c r="O17" s="8">
        <v>293</v>
      </c>
      <c r="P17" s="8">
        <v>305</v>
      </c>
      <c r="Q17" s="8">
        <v>325</v>
      </c>
      <c r="R17" s="8">
        <v>311</v>
      </c>
      <c r="S17" s="8">
        <v>333</v>
      </c>
      <c r="T17" s="8">
        <v>341</v>
      </c>
      <c r="U17" s="8">
        <v>367</v>
      </c>
      <c r="V17" s="8">
        <v>369</v>
      </c>
      <c r="W17" s="8">
        <v>371</v>
      </c>
      <c r="X17" s="8">
        <v>359</v>
      </c>
    </row>
    <row r="18" spans="1:24" x14ac:dyDescent="0.2">
      <c r="A18" s="7" t="s">
        <v>80</v>
      </c>
      <c r="B18" s="8">
        <v>181</v>
      </c>
      <c r="C18" s="8">
        <v>174</v>
      </c>
      <c r="D18" s="8">
        <v>194</v>
      </c>
      <c r="E18" s="8">
        <v>200</v>
      </c>
      <c r="F18" s="8">
        <v>209</v>
      </c>
      <c r="G18" s="8">
        <v>215</v>
      </c>
      <c r="H18" s="8">
        <v>212</v>
      </c>
      <c r="I18" s="8">
        <v>201</v>
      </c>
      <c r="J18" s="8">
        <v>210</v>
      </c>
      <c r="K18" s="8">
        <v>217</v>
      </c>
      <c r="L18" s="8">
        <v>227</v>
      </c>
      <c r="M18" s="8">
        <v>243</v>
      </c>
      <c r="N18" s="8">
        <v>242</v>
      </c>
      <c r="O18" s="8">
        <v>251</v>
      </c>
      <c r="P18" s="8">
        <v>263</v>
      </c>
      <c r="Q18" s="8">
        <v>267</v>
      </c>
      <c r="R18" s="8">
        <v>266</v>
      </c>
      <c r="S18" s="8">
        <v>285</v>
      </c>
      <c r="T18" s="8">
        <v>275</v>
      </c>
      <c r="U18" s="8">
        <v>303</v>
      </c>
      <c r="V18" s="8">
        <v>292</v>
      </c>
      <c r="W18" s="8">
        <v>305</v>
      </c>
      <c r="X18" s="8">
        <v>314</v>
      </c>
    </row>
    <row r="19" spans="1:24" x14ac:dyDescent="0.2">
      <c r="A19" s="7" t="s">
        <v>3</v>
      </c>
      <c r="B19" s="8">
        <v>113</v>
      </c>
      <c r="C19" s="8">
        <v>124</v>
      </c>
      <c r="D19" s="8">
        <v>110</v>
      </c>
      <c r="E19" s="8">
        <v>112</v>
      </c>
      <c r="F19" s="8">
        <v>123</v>
      </c>
      <c r="G19" s="8">
        <v>131</v>
      </c>
      <c r="H19" s="8">
        <v>114</v>
      </c>
      <c r="I19" s="8">
        <v>119</v>
      </c>
      <c r="J19" s="8">
        <v>139</v>
      </c>
      <c r="K19" s="8">
        <v>135</v>
      </c>
      <c r="L19" s="8">
        <v>134</v>
      </c>
      <c r="M19" s="8">
        <v>143</v>
      </c>
      <c r="N19" s="8">
        <v>151</v>
      </c>
      <c r="O19" s="8">
        <v>154</v>
      </c>
      <c r="P19" s="8">
        <v>143</v>
      </c>
      <c r="Q19" s="8">
        <v>153</v>
      </c>
      <c r="R19" s="8">
        <v>159</v>
      </c>
      <c r="S19" s="8">
        <v>169</v>
      </c>
      <c r="T19" s="8">
        <v>169</v>
      </c>
      <c r="U19" s="8">
        <v>181</v>
      </c>
      <c r="V19" s="8">
        <v>180</v>
      </c>
      <c r="W19" s="8">
        <v>180</v>
      </c>
      <c r="X19" s="8">
        <v>188</v>
      </c>
    </row>
    <row r="20" spans="1:24" x14ac:dyDescent="0.2">
      <c r="A20" s="7" t="s">
        <v>4</v>
      </c>
      <c r="B20" s="8">
        <v>141</v>
      </c>
      <c r="C20" s="8">
        <v>139</v>
      </c>
      <c r="D20" s="8">
        <v>137</v>
      </c>
      <c r="E20" s="8">
        <v>149</v>
      </c>
      <c r="F20" s="8">
        <v>153</v>
      </c>
      <c r="G20" s="8">
        <v>151</v>
      </c>
      <c r="H20" s="8">
        <v>153</v>
      </c>
      <c r="I20" s="8">
        <v>155</v>
      </c>
      <c r="J20" s="8">
        <v>164</v>
      </c>
      <c r="K20" s="8">
        <v>159</v>
      </c>
      <c r="L20" s="8">
        <v>156</v>
      </c>
      <c r="M20" s="8">
        <v>160</v>
      </c>
      <c r="N20" s="8">
        <v>153</v>
      </c>
      <c r="O20" s="8">
        <v>154</v>
      </c>
      <c r="P20" s="8">
        <v>159</v>
      </c>
      <c r="Q20" s="8">
        <v>170</v>
      </c>
      <c r="R20" s="8">
        <v>176</v>
      </c>
      <c r="S20" s="8">
        <v>189</v>
      </c>
      <c r="T20" s="8">
        <v>186</v>
      </c>
      <c r="U20" s="8">
        <v>192</v>
      </c>
      <c r="V20" s="8">
        <v>189</v>
      </c>
      <c r="W20" s="8">
        <v>199</v>
      </c>
      <c r="X20" s="8">
        <v>186</v>
      </c>
    </row>
    <row r="21" spans="1:24" s="48" customFormat="1" x14ac:dyDescent="0.2">
      <c r="A21" s="49" t="s">
        <v>0</v>
      </c>
      <c r="B21" s="70">
        <v>1903</v>
      </c>
      <c r="C21" s="70">
        <v>1881</v>
      </c>
      <c r="D21" s="70">
        <v>1965</v>
      </c>
      <c r="E21" s="70">
        <v>2046</v>
      </c>
      <c r="F21" s="70">
        <v>2118</v>
      </c>
      <c r="G21" s="70">
        <v>2190</v>
      </c>
      <c r="H21" s="70">
        <v>2144</v>
      </c>
      <c r="I21" s="70">
        <v>2077</v>
      </c>
      <c r="J21" s="70">
        <v>2209</v>
      </c>
      <c r="K21" s="70">
        <v>2246</v>
      </c>
      <c r="L21" s="70">
        <v>2261</v>
      </c>
      <c r="M21" s="70">
        <v>2304</v>
      </c>
      <c r="N21" s="70">
        <v>2381</v>
      </c>
      <c r="O21" s="70">
        <v>2427</v>
      </c>
      <c r="P21" s="70">
        <v>2440</v>
      </c>
      <c r="Q21" s="70">
        <v>2558</v>
      </c>
      <c r="R21" s="70">
        <v>2526</v>
      </c>
      <c r="S21" s="70">
        <v>2606</v>
      </c>
      <c r="T21" s="70">
        <v>2709</v>
      </c>
      <c r="U21" s="70">
        <v>2863</v>
      </c>
      <c r="V21" s="70">
        <v>2843</v>
      </c>
      <c r="W21" s="70">
        <v>2916</v>
      </c>
      <c r="X21" s="70">
        <v>2860</v>
      </c>
    </row>
  </sheetData>
  <hyperlinks>
    <hyperlink ref="A2" location="Sommaire!A1" display="Retour au menu &quot;Exploitation des films&quot;" xr:uid="{00000000-0004-0000-0E00-000000000000}"/>
  </hyperlinks>
  <pageMargins left="0.78740157499999996" right="0.78740157499999996" top="0.984251969" bottom="0.984251969" header="0.4921259845" footer="0.492125984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23"/>
  <sheetViews>
    <sheetView workbookViewId="0"/>
  </sheetViews>
  <sheetFormatPr baseColWidth="10" defaultColWidth="5.5703125" defaultRowHeight="12" x14ac:dyDescent="0.2"/>
  <cols>
    <col min="1" max="1" width="30.42578125" style="46" customWidth="1"/>
    <col min="2" max="4" width="7.42578125" style="46" bestFit="1" customWidth="1"/>
    <col min="5" max="18" width="7.42578125" style="47" bestFit="1" customWidth="1"/>
    <col min="19" max="22" width="7.42578125" style="46" bestFit="1" customWidth="1"/>
    <col min="23" max="24" width="7.5703125" style="46" customWidth="1"/>
    <col min="25" max="31" width="5.5703125" style="46"/>
    <col min="32" max="32" width="10" style="46" bestFit="1" customWidth="1"/>
    <col min="33"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53</v>
      </c>
      <c r="B5" s="45"/>
      <c r="C5" s="45"/>
    </row>
    <row r="6" spans="1:24" ht="3" customHeight="1" x14ac:dyDescent="0.2"/>
    <row r="7" spans="1:24" s="48" customFormat="1" x14ac:dyDescent="0.2">
      <c r="A7" s="20"/>
      <c r="B7" s="21">
        <v>2002</v>
      </c>
      <c r="C7" s="21">
        <v>2003</v>
      </c>
      <c r="D7" s="21">
        <v>2004</v>
      </c>
      <c r="E7" s="21">
        <v>2005</v>
      </c>
      <c r="F7" s="21">
        <v>2006</v>
      </c>
      <c r="G7" s="21">
        <v>2007</v>
      </c>
      <c r="H7" s="21">
        <v>2008</v>
      </c>
      <c r="I7" s="21">
        <v>2009</v>
      </c>
      <c r="J7" s="21">
        <v>2010</v>
      </c>
      <c r="K7" s="21">
        <v>2011</v>
      </c>
      <c r="L7" s="21">
        <v>2012</v>
      </c>
      <c r="M7" s="21">
        <v>2013</v>
      </c>
      <c r="N7" s="21">
        <v>2014</v>
      </c>
      <c r="O7" s="21">
        <v>2015</v>
      </c>
      <c r="P7" s="21">
        <v>2016</v>
      </c>
      <c r="Q7" s="21">
        <v>2017</v>
      </c>
      <c r="R7" s="21">
        <v>2018</v>
      </c>
      <c r="S7" s="21">
        <v>2019</v>
      </c>
      <c r="T7" s="21">
        <v>2020</v>
      </c>
      <c r="U7" s="21">
        <v>2021</v>
      </c>
      <c r="V7" s="21">
        <v>2022</v>
      </c>
      <c r="W7" s="21">
        <v>2023</v>
      </c>
      <c r="X7" s="21">
        <v>2024</v>
      </c>
    </row>
    <row r="8" spans="1:24" x14ac:dyDescent="0.2">
      <c r="A8" s="7" t="s">
        <v>72</v>
      </c>
      <c r="B8" s="23">
        <v>43983</v>
      </c>
      <c r="C8" s="23">
        <v>45223</v>
      </c>
      <c r="D8" s="23">
        <v>49000</v>
      </c>
      <c r="E8" s="23">
        <v>45947</v>
      </c>
      <c r="F8" s="23">
        <v>48347</v>
      </c>
      <c r="G8" s="23">
        <v>48032</v>
      </c>
      <c r="H8" s="23">
        <v>47336</v>
      </c>
      <c r="I8" s="23">
        <v>48498</v>
      </c>
      <c r="J8" s="23">
        <v>48092</v>
      </c>
      <c r="K8" s="23">
        <v>49606</v>
      </c>
      <c r="L8" s="23">
        <v>46849</v>
      </c>
      <c r="M8" s="23">
        <v>49170</v>
      </c>
      <c r="N8" s="23">
        <v>51177</v>
      </c>
      <c r="O8" s="23">
        <v>54430</v>
      </c>
      <c r="P8" s="23">
        <v>51779</v>
      </c>
      <c r="Q8" s="23">
        <v>55560</v>
      </c>
      <c r="R8" s="23">
        <v>58177</v>
      </c>
      <c r="S8" s="23">
        <v>61122</v>
      </c>
      <c r="T8" s="23">
        <v>61542</v>
      </c>
      <c r="U8" s="23">
        <v>62361</v>
      </c>
      <c r="V8" s="23">
        <v>61568</v>
      </c>
      <c r="W8" s="23">
        <v>63176</v>
      </c>
      <c r="X8" s="23">
        <v>64005</v>
      </c>
    </row>
    <row r="9" spans="1:24" x14ac:dyDescent="0.2">
      <c r="A9" s="7" t="s">
        <v>73</v>
      </c>
      <c r="B9" s="23">
        <v>19535</v>
      </c>
      <c r="C9" s="23">
        <v>19270</v>
      </c>
      <c r="D9" s="23">
        <v>20785</v>
      </c>
      <c r="E9" s="23">
        <v>22974</v>
      </c>
      <c r="F9" s="23">
        <v>21856</v>
      </c>
      <c r="G9" s="23">
        <v>24186</v>
      </c>
      <c r="H9" s="23">
        <v>25127</v>
      </c>
      <c r="I9" s="23">
        <v>23091</v>
      </c>
      <c r="J9" s="23">
        <v>25450</v>
      </c>
      <c r="K9" s="23">
        <v>25451</v>
      </c>
      <c r="L9" s="23">
        <v>24520</v>
      </c>
      <c r="M9" s="23">
        <v>25063</v>
      </c>
      <c r="N9" s="23">
        <v>27136</v>
      </c>
      <c r="O9" s="23">
        <v>27970</v>
      </c>
      <c r="P9" s="23">
        <v>25712</v>
      </c>
      <c r="Q9" s="23">
        <v>26494</v>
      </c>
      <c r="R9" s="23">
        <v>25424</v>
      </c>
      <c r="S9" s="23">
        <v>27451</v>
      </c>
      <c r="T9" s="23">
        <v>28718</v>
      </c>
      <c r="U9" s="23">
        <v>30655</v>
      </c>
      <c r="V9" s="23">
        <v>30540</v>
      </c>
      <c r="W9" s="23">
        <v>32478</v>
      </c>
      <c r="X9" s="23">
        <v>32429</v>
      </c>
    </row>
    <row r="10" spans="1:24" x14ac:dyDescent="0.2">
      <c r="A10" s="7" t="s">
        <v>1</v>
      </c>
      <c r="B10" s="23">
        <v>26498</v>
      </c>
      <c r="C10" s="23">
        <v>28375</v>
      </c>
      <c r="D10" s="23">
        <v>28452</v>
      </c>
      <c r="E10" s="23">
        <v>26610</v>
      </c>
      <c r="F10" s="23">
        <v>26675</v>
      </c>
      <c r="G10" s="23">
        <v>27648</v>
      </c>
      <c r="H10" s="23">
        <v>28663</v>
      </c>
      <c r="I10" s="23">
        <v>27767</v>
      </c>
      <c r="J10" s="23">
        <v>30141</v>
      </c>
      <c r="K10" s="23">
        <v>29654</v>
      </c>
      <c r="L10" s="23">
        <v>29981</v>
      </c>
      <c r="M10" s="23">
        <v>31037</v>
      </c>
      <c r="N10" s="23">
        <v>32025</v>
      </c>
      <c r="O10" s="23">
        <v>32469</v>
      </c>
      <c r="P10" s="23">
        <v>33918</v>
      </c>
      <c r="Q10" s="23">
        <v>35044</v>
      </c>
      <c r="R10" s="23">
        <v>35179</v>
      </c>
      <c r="S10" s="23">
        <v>33743</v>
      </c>
      <c r="T10" s="23">
        <v>33086</v>
      </c>
      <c r="U10" s="23">
        <v>36447</v>
      </c>
      <c r="V10" s="23">
        <v>36452</v>
      </c>
      <c r="W10" s="23">
        <v>36382</v>
      </c>
      <c r="X10" s="23">
        <v>33401</v>
      </c>
    </row>
    <row r="11" spans="1:24" x14ac:dyDescent="0.2">
      <c r="A11" s="7" t="s">
        <v>74</v>
      </c>
      <c r="B11" s="23">
        <v>10087</v>
      </c>
      <c r="C11" s="23">
        <v>10008</v>
      </c>
      <c r="D11" s="23">
        <v>9644</v>
      </c>
      <c r="E11" s="23">
        <v>11018</v>
      </c>
      <c r="F11" s="23">
        <v>11247</v>
      </c>
      <c r="G11" s="23">
        <v>13204</v>
      </c>
      <c r="H11" s="23">
        <v>13771</v>
      </c>
      <c r="I11" s="23">
        <v>13022</v>
      </c>
      <c r="J11" s="23">
        <v>16073</v>
      </c>
      <c r="K11" s="23">
        <v>16972</v>
      </c>
      <c r="L11" s="23">
        <v>17118</v>
      </c>
      <c r="M11" s="23">
        <v>17323</v>
      </c>
      <c r="N11" s="23">
        <v>17624</v>
      </c>
      <c r="O11" s="23">
        <v>18000</v>
      </c>
      <c r="P11" s="23">
        <v>17839</v>
      </c>
      <c r="Q11" s="23">
        <v>18406</v>
      </c>
      <c r="R11" s="23">
        <v>17693</v>
      </c>
      <c r="S11" s="23">
        <v>16167</v>
      </c>
      <c r="T11" s="23">
        <v>18373</v>
      </c>
      <c r="U11" s="23">
        <v>18671</v>
      </c>
      <c r="V11" s="23">
        <v>18543</v>
      </c>
      <c r="W11" s="23">
        <v>18543</v>
      </c>
      <c r="X11" s="23">
        <v>18053</v>
      </c>
    </row>
    <row r="12" spans="1:24" x14ac:dyDescent="0.2">
      <c r="A12" s="7" t="s">
        <v>5</v>
      </c>
      <c r="B12" s="23">
        <v>2456</v>
      </c>
      <c r="C12" s="23">
        <v>2231</v>
      </c>
      <c r="D12" s="23">
        <v>2456</v>
      </c>
      <c r="E12" s="23">
        <v>2294</v>
      </c>
      <c r="F12" s="23">
        <v>1679</v>
      </c>
      <c r="G12" s="23">
        <v>2294</v>
      </c>
      <c r="H12" s="23">
        <v>1550</v>
      </c>
      <c r="I12" s="23">
        <v>344</v>
      </c>
      <c r="J12" s="23">
        <v>344</v>
      </c>
      <c r="K12" s="23">
        <v>642</v>
      </c>
      <c r="L12" s="23">
        <v>867</v>
      </c>
      <c r="M12" s="23">
        <v>642</v>
      </c>
      <c r="N12" s="23">
        <v>642</v>
      </c>
      <c r="O12" s="23">
        <v>642</v>
      </c>
      <c r="P12" s="23">
        <v>642</v>
      </c>
      <c r="Q12" s="23">
        <v>1789</v>
      </c>
      <c r="R12" s="23">
        <v>1789</v>
      </c>
      <c r="S12" s="23">
        <v>1789</v>
      </c>
      <c r="T12" s="23">
        <v>1789</v>
      </c>
      <c r="U12" s="23">
        <v>2804</v>
      </c>
      <c r="V12" s="23">
        <v>2822</v>
      </c>
      <c r="W12" s="23">
        <v>3054</v>
      </c>
      <c r="X12" s="23">
        <v>3022</v>
      </c>
    </row>
    <row r="13" spans="1:24" x14ac:dyDescent="0.2">
      <c r="A13" s="7" t="s">
        <v>77</v>
      </c>
      <c r="B13" s="23">
        <v>24515</v>
      </c>
      <c r="C13" s="23">
        <v>24545</v>
      </c>
      <c r="D13" s="23">
        <v>26587</v>
      </c>
      <c r="E13" s="23">
        <v>27457</v>
      </c>
      <c r="F13" s="23">
        <v>29079</v>
      </c>
      <c r="G13" s="23">
        <v>27700</v>
      </c>
      <c r="H13" s="23">
        <v>27164</v>
      </c>
      <c r="I13" s="23">
        <v>27562</v>
      </c>
      <c r="J13" s="23">
        <v>28211</v>
      </c>
      <c r="K13" s="23">
        <v>26947</v>
      </c>
      <c r="L13" s="23">
        <v>29131</v>
      </c>
      <c r="M13" s="23">
        <v>27819</v>
      </c>
      <c r="N13" s="23">
        <v>29382</v>
      </c>
      <c r="O13" s="23">
        <v>32176</v>
      </c>
      <c r="P13" s="23">
        <v>33075</v>
      </c>
      <c r="Q13" s="23">
        <v>33391</v>
      </c>
      <c r="R13" s="23">
        <v>31802</v>
      </c>
      <c r="S13" s="23">
        <v>32794</v>
      </c>
      <c r="T13" s="23">
        <v>37547</v>
      </c>
      <c r="U13" s="23">
        <v>37263</v>
      </c>
      <c r="V13" s="23">
        <v>35499</v>
      </c>
      <c r="W13" s="23">
        <v>36243</v>
      </c>
      <c r="X13" s="23">
        <v>32837</v>
      </c>
    </row>
    <row r="14" spans="1:24" x14ac:dyDescent="0.2">
      <c r="A14" s="7" t="s">
        <v>78</v>
      </c>
      <c r="B14" s="23">
        <v>24872</v>
      </c>
      <c r="C14" s="23">
        <v>20164</v>
      </c>
      <c r="D14" s="23">
        <v>21710</v>
      </c>
      <c r="E14" s="23">
        <v>19752</v>
      </c>
      <c r="F14" s="23">
        <v>23231</v>
      </c>
      <c r="G14" s="23">
        <v>27539</v>
      </c>
      <c r="H14" s="23">
        <v>26032</v>
      </c>
      <c r="I14" s="23">
        <v>21937</v>
      </c>
      <c r="J14" s="23">
        <v>24789</v>
      </c>
      <c r="K14" s="23">
        <v>24789</v>
      </c>
      <c r="L14" s="23">
        <v>24486</v>
      </c>
      <c r="M14" s="23">
        <v>23013</v>
      </c>
      <c r="N14" s="23">
        <v>26241</v>
      </c>
      <c r="O14" s="23">
        <v>26932</v>
      </c>
      <c r="P14" s="23">
        <v>28709</v>
      </c>
      <c r="Q14" s="23">
        <v>28649</v>
      </c>
      <c r="R14" s="23">
        <v>25720</v>
      </c>
      <c r="S14" s="23">
        <v>21671</v>
      </c>
      <c r="T14" s="23">
        <v>25795</v>
      </c>
      <c r="U14" s="23">
        <v>27579</v>
      </c>
      <c r="V14" s="23">
        <v>27459</v>
      </c>
      <c r="W14" s="23">
        <v>27517</v>
      </c>
      <c r="X14" s="23">
        <v>25200</v>
      </c>
    </row>
    <row r="15" spans="1:24" x14ac:dyDescent="0.2">
      <c r="A15" s="7" t="s">
        <v>2</v>
      </c>
      <c r="B15" s="23">
        <v>58895</v>
      </c>
      <c r="C15" s="23">
        <v>56296</v>
      </c>
      <c r="D15" s="23">
        <v>56978</v>
      </c>
      <c r="E15" s="23">
        <v>56771</v>
      </c>
      <c r="F15" s="23">
        <v>57758</v>
      </c>
      <c r="G15" s="23">
        <v>56167</v>
      </c>
      <c r="H15" s="23">
        <v>51910</v>
      </c>
      <c r="I15" s="23">
        <v>51312</v>
      </c>
      <c r="J15" s="23">
        <v>53885</v>
      </c>
      <c r="K15" s="23">
        <v>57949</v>
      </c>
      <c r="L15" s="23">
        <v>56844</v>
      </c>
      <c r="M15" s="23">
        <v>57353</v>
      </c>
      <c r="N15" s="23">
        <v>58118</v>
      </c>
      <c r="O15" s="23">
        <v>55595</v>
      </c>
      <c r="P15" s="23">
        <v>55997</v>
      </c>
      <c r="Q15" s="23">
        <v>56338</v>
      </c>
      <c r="R15" s="23">
        <v>54873</v>
      </c>
      <c r="S15" s="23">
        <v>59978</v>
      </c>
      <c r="T15" s="23">
        <v>60835</v>
      </c>
      <c r="U15" s="23">
        <v>62674</v>
      </c>
      <c r="V15" s="23">
        <v>62686</v>
      </c>
      <c r="W15" s="23">
        <v>63164</v>
      </c>
      <c r="X15" s="23">
        <v>63411</v>
      </c>
    </row>
    <row r="16" spans="1:24" x14ac:dyDescent="0.2">
      <c r="A16" s="7" t="s">
        <v>75</v>
      </c>
      <c r="B16" s="23">
        <v>21035</v>
      </c>
      <c r="C16" s="23">
        <v>23949</v>
      </c>
      <c r="D16" s="23">
        <v>25325</v>
      </c>
      <c r="E16" s="23">
        <v>24933</v>
      </c>
      <c r="F16" s="23">
        <v>25731</v>
      </c>
      <c r="G16" s="23">
        <v>25432</v>
      </c>
      <c r="H16" s="23">
        <v>23891</v>
      </c>
      <c r="I16" s="23">
        <v>24148</v>
      </c>
      <c r="J16" s="23">
        <v>25289</v>
      </c>
      <c r="K16" s="23">
        <v>26044</v>
      </c>
      <c r="L16" s="23">
        <v>27234</v>
      </c>
      <c r="M16" s="23">
        <v>26779</v>
      </c>
      <c r="N16" s="23">
        <v>26134</v>
      </c>
      <c r="O16" s="23">
        <v>25267</v>
      </c>
      <c r="P16" s="23">
        <v>24016</v>
      </c>
      <c r="Q16" s="23">
        <v>26375</v>
      </c>
      <c r="R16" s="23">
        <v>24787</v>
      </c>
      <c r="S16" s="23">
        <v>22829</v>
      </c>
      <c r="T16" s="23">
        <v>26848</v>
      </c>
      <c r="U16" s="23">
        <v>28113</v>
      </c>
      <c r="V16" s="23">
        <v>28491</v>
      </c>
      <c r="W16" s="23">
        <v>28744</v>
      </c>
      <c r="X16" s="23">
        <v>29319</v>
      </c>
    </row>
    <row r="17" spans="1:24" x14ac:dyDescent="0.2">
      <c r="A17" s="7" t="s">
        <v>79</v>
      </c>
      <c r="B17" s="23">
        <v>46876</v>
      </c>
      <c r="C17" s="23">
        <v>43818</v>
      </c>
      <c r="D17" s="23">
        <v>46739</v>
      </c>
      <c r="E17" s="23">
        <v>48524</v>
      </c>
      <c r="F17" s="23">
        <v>48033</v>
      </c>
      <c r="G17" s="23">
        <v>50158</v>
      </c>
      <c r="H17" s="23">
        <v>50553</v>
      </c>
      <c r="I17" s="23">
        <v>47142</v>
      </c>
      <c r="J17" s="23">
        <v>47907</v>
      </c>
      <c r="K17" s="23">
        <v>49060</v>
      </c>
      <c r="L17" s="23">
        <v>51480</v>
      </c>
      <c r="M17" s="23">
        <v>53981</v>
      </c>
      <c r="N17" s="23">
        <v>54796</v>
      </c>
      <c r="O17" s="23">
        <v>54962</v>
      </c>
      <c r="P17" s="23">
        <v>55660</v>
      </c>
      <c r="Q17" s="23">
        <v>59360</v>
      </c>
      <c r="R17" s="23">
        <v>56739</v>
      </c>
      <c r="S17" s="23">
        <v>59946</v>
      </c>
      <c r="T17" s="23">
        <v>61067</v>
      </c>
      <c r="U17" s="23">
        <v>64687</v>
      </c>
      <c r="V17" s="23">
        <v>64456</v>
      </c>
      <c r="W17" s="23">
        <v>64805</v>
      </c>
      <c r="X17" s="23">
        <v>62108</v>
      </c>
    </row>
    <row r="18" spans="1:24" x14ac:dyDescent="0.2">
      <c r="A18" s="7" t="s">
        <v>80</v>
      </c>
      <c r="B18" s="23">
        <v>31238</v>
      </c>
      <c r="C18" s="23">
        <v>29659</v>
      </c>
      <c r="D18" s="23">
        <v>34432</v>
      </c>
      <c r="E18" s="23">
        <v>32694</v>
      </c>
      <c r="F18" s="23">
        <v>33214</v>
      </c>
      <c r="G18" s="23">
        <v>35096</v>
      </c>
      <c r="H18" s="23">
        <v>33461</v>
      </c>
      <c r="I18" s="23">
        <v>32171</v>
      </c>
      <c r="J18" s="23">
        <v>33815</v>
      </c>
      <c r="K18" s="23">
        <v>35087</v>
      </c>
      <c r="L18" s="23">
        <v>37046</v>
      </c>
      <c r="M18" s="23">
        <v>39190</v>
      </c>
      <c r="N18" s="23">
        <v>39256</v>
      </c>
      <c r="O18" s="23">
        <v>40187</v>
      </c>
      <c r="P18" s="23">
        <v>41784</v>
      </c>
      <c r="Q18" s="23">
        <v>42429</v>
      </c>
      <c r="R18" s="23">
        <v>42295</v>
      </c>
      <c r="S18" s="23">
        <v>46026</v>
      </c>
      <c r="T18" s="23">
        <v>44797</v>
      </c>
      <c r="U18" s="23">
        <v>47805</v>
      </c>
      <c r="V18" s="23">
        <v>45416</v>
      </c>
      <c r="W18" s="23">
        <v>46347</v>
      </c>
      <c r="X18" s="23">
        <v>48092</v>
      </c>
    </row>
    <row r="19" spans="1:24" x14ac:dyDescent="0.2">
      <c r="A19" s="7" t="s">
        <v>3</v>
      </c>
      <c r="B19" s="23">
        <v>24040</v>
      </c>
      <c r="C19" s="23">
        <v>26919</v>
      </c>
      <c r="D19" s="23">
        <v>23494</v>
      </c>
      <c r="E19" s="23">
        <v>21516</v>
      </c>
      <c r="F19" s="23">
        <v>22868</v>
      </c>
      <c r="G19" s="23">
        <v>24414</v>
      </c>
      <c r="H19" s="23">
        <v>21025</v>
      </c>
      <c r="I19" s="23">
        <v>21373</v>
      </c>
      <c r="J19" s="23">
        <v>25254</v>
      </c>
      <c r="K19" s="23">
        <v>24781</v>
      </c>
      <c r="L19" s="23">
        <v>24142</v>
      </c>
      <c r="M19" s="23">
        <v>25508</v>
      </c>
      <c r="N19" s="23">
        <v>27024</v>
      </c>
      <c r="O19" s="23">
        <v>27489</v>
      </c>
      <c r="P19" s="23">
        <v>25983</v>
      </c>
      <c r="Q19" s="23">
        <v>27228</v>
      </c>
      <c r="R19" s="23">
        <v>28362</v>
      </c>
      <c r="S19" s="23">
        <v>29841</v>
      </c>
      <c r="T19" s="23">
        <v>29601</v>
      </c>
      <c r="U19" s="23">
        <v>31504</v>
      </c>
      <c r="V19" s="23">
        <v>31233</v>
      </c>
      <c r="W19" s="23">
        <v>31193</v>
      </c>
      <c r="X19" s="23">
        <v>32163</v>
      </c>
    </row>
    <row r="20" spans="1:24" x14ac:dyDescent="0.2">
      <c r="A20" s="7" t="s">
        <v>4</v>
      </c>
      <c r="B20" s="23">
        <v>20923</v>
      </c>
      <c r="C20" s="23">
        <v>20950</v>
      </c>
      <c r="D20" s="23">
        <v>20572</v>
      </c>
      <c r="E20" s="23">
        <v>21463</v>
      </c>
      <c r="F20" s="23">
        <v>21946</v>
      </c>
      <c r="G20" s="23">
        <v>21798</v>
      </c>
      <c r="H20" s="23">
        <v>21588</v>
      </c>
      <c r="I20" s="23">
        <v>22095</v>
      </c>
      <c r="J20" s="23">
        <v>23176</v>
      </c>
      <c r="K20" s="23">
        <v>22692</v>
      </c>
      <c r="L20" s="23">
        <v>22158</v>
      </c>
      <c r="M20" s="23">
        <v>22756</v>
      </c>
      <c r="N20" s="23">
        <v>21726</v>
      </c>
      <c r="O20" s="23">
        <v>21835</v>
      </c>
      <c r="P20" s="23">
        <v>22919</v>
      </c>
      <c r="Q20" s="23">
        <v>24293</v>
      </c>
      <c r="R20" s="23">
        <v>25199</v>
      </c>
      <c r="S20" s="23">
        <v>26664</v>
      </c>
      <c r="T20" s="23">
        <v>26168</v>
      </c>
      <c r="U20" s="23">
        <v>26111</v>
      </c>
      <c r="V20" s="23">
        <v>26027</v>
      </c>
      <c r="W20" s="23">
        <v>26906</v>
      </c>
      <c r="X20" s="23">
        <v>24927</v>
      </c>
    </row>
    <row r="21" spans="1:24" s="48" customFormat="1" x14ac:dyDescent="0.2">
      <c r="A21" s="49" t="s">
        <v>0</v>
      </c>
      <c r="B21" s="70">
        <v>354953</v>
      </c>
      <c r="C21" s="70">
        <v>351407</v>
      </c>
      <c r="D21" s="70">
        <v>366174</v>
      </c>
      <c r="E21" s="70">
        <v>361953</v>
      </c>
      <c r="F21" s="70">
        <v>371664</v>
      </c>
      <c r="G21" s="70">
        <v>383668</v>
      </c>
      <c r="H21" s="70">
        <v>372071</v>
      </c>
      <c r="I21" s="70">
        <v>360462</v>
      </c>
      <c r="J21" s="70">
        <v>382426</v>
      </c>
      <c r="K21" s="70">
        <v>389674</v>
      </c>
      <c r="L21" s="70">
        <v>391856</v>
      </c>
      <c r="M21" s="70">
        <v>399634</v>
      </c>
      <c r="N21" s="70">
        <v>411281</v>
      </c>
      <c r="O21" s="70">
        <v>417954</v>
      </c>
      <c r="P21" s="70">
        <v>418033</v>
      </c>
      <c r="Q21" s="70">
        <v>435356</v>
      </c>
      <c r="R21" s="70">
        <v>428039</v>
      </c>
      <c r="S21" s="70">
        <v>440021</v>
      </c>
      <c r="T21" s="70">
        <v>456166</v>
      </c>
      <c r="U21" s="70">
        <v>476674</v>
      </c>
      <c r="V21" s="70">
        <v>471192</v>
      </c>
      <c r="W21" s="70">
        <v>478552</v>
      </c>
      <c r="X21" s="70">
        <v>468967</v>
      </c>
    </row>
    <row r="23" spans="1:24" x14ac:dyDescent="0.2">
      <c r="W23" s="80"/>
      <c r="X23" s="80"/>
    </row>
  </sheetData>
  <hyperlinks>
    <hyperlink ref="A2" location="Sommaire!A1" display="Retour au menu &quot;Exploitation des films&quot;" xr:uid="{00000000-0004-0000-0F00-000000000000}"/>
  </hyperlinks>
  <pageMargins left="0.78740157499999996" right="0.78740157499999996" top="0.984251969" bottom="0.984251969" header="0.4921259845" footer="0.492125984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3"/>
  <sheetViews>
    <sheetView workbookViewId="0"/>
  </sheetViews>
  <sheetFormatPr baseColWidth="10" defaultColWidth="5.5703125" defaultRowHeight="12" x14ac:dyDescent="0.2"/>
  <cols>
    <col min="1" max="1" width="56.5703125" style="46" bestFit="1" customWidth="1"/>
    <col min="2" max="4" width="6.85546875" style="46" bestFit="1" customWidth="1"/>
    <col min="5" max="18" width="6.85546875" style="47" bestFit="1" customWidth="1"/>
    <col min="19" max="22" width="6.85546875" style="46" bestFit="1" customWidth="1"/>
    <col min="23" max="24" width="6.7109375" style="46" customWidth="1"/>
    <col min="25"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52</v>
      </c>
      <c r="B5" s="45"/>
      <c r="C5" s="45"/>
    </row>
    <row r="6" spans="1:24" ht="3" customHeight="1" x14ac:dyDescent="0.2"/>
    <row r="7" spans="1:24" s="48" customFormat="1" x14ac:dyDescent="0.2">
      <c r="A7" s="11"/>
      <c r="B7" s="12">
        <v>2002</v>
      </c>
      <c r="C7" s="12">
        <v>2003</v>
      </c>
      <c r="D7" s="12">
        <v>2004</v>
      </c>
      <c r="E7" s="12">
        <v>2005</v>
      </c>
      <c r="F7" s="12">
        <v>2006</v>
      </c>
      <c r="G7" s="12">
        <v>2007</v>
      </c>
      <c r="H7" s="12">
        <v>2008</v>
      </c>
      <c r="I7" s="12">
        <v>2009</v>
      </c>
      <c r="J7" s="12">
        <v>2010</v>
      </c>
      <c r="K7" s="12">
        <v>2011</v>
      </c>
      <c r="L7" s="12">
        <v>2012</v>
      </c>
      <c r="M7" s="12">
        <v>2013</v>
      </c>
      <c r="N7" s="12">
        <v>2014</v>
      </c>
      <c r="O7" s="12">
        <v>2015</v>
      </c>
      <c r="P7" s="12">
        <v>2016</v>
      </c>
      <c r="Q7" s="12">
        <v>2017</v>
      </c>
      <c r="R7" s="12">
        <v>2018</v>
      </c>
      <c r="S7" s="12">
        <v>2019</v>
      </c>
      <c r="T7" s="12">
        <v>2020</v>
      </c>
      <c r="U7" s="12">
        <v>2021</v>
      </c>
      <c r="V7" s="12">
        <v>2022</v>
      </c>
      <c r="W7" s="12">
        <v>2023</v>
      </c>
      <c r="X7" s="12">
        <v>2024</v>
      </c>
    </row>
    <row r="8" spans="1:24" x14ac:dyDescent="0.2">
      <c r="A8" s="7" t="s">
        <v>72</v>
      </c>
      <c r="B8" s="26">
        <v>219005</v>
      </c>
      <c r="C8" s="26">
        <v>218719</v>
      </c>
      <c r="D8" s="26">
        <v>245659</v>
      </c>
      <c r="E8" s="26">
        <v>245246</v>
      </c>
      <c r="F8" s="26">
        <v>255577</v>
      </c>
      <c r="G8" s="26">
        <v>255434</v>
      </c>
      <c r="H8" s="26">
        <v>245404</v>
      </c>
      <c r="I8" s="26">
        <v>265398</v>
      </c>
      <c r="J8" s="26">
        <v>258337</v>
      </c>
      <c r="K8" s="26">
        <v>260835</v>
      </c>
      <c r="L8" s="26">
        <v>258269</v>
      </c>
      <c r="M8" s="26">
        <v>277241</v>
      </c>
      <c r="N8" s="26">
        <v>313495</v>
      </c>
      <c r="O8" s="26">
        <v>341665</v>
      </c>
      <c r="P8" s="26">
        <v>321328</v>
      </c>
      <c r="Q8" s="26">
        <v>366783</v>
      </c>
      <c r="R8" s="26">
        <v>407745</v>
      </c>
      <c r="S8" s="26">
        <v>441535</v>
      </c>
      <c r="T8" s="26">
        <v>221969</v>
      </c>
      <c r="U8" s="26">
        <v>268209</v>
      </c>
      <c r="V8" s="26">
        <v>446477</v>
      </c>
      <c r="W8" s="26">
        <v>438720</v>
      </c>
      <c r="X8" s="26">
        <v>458710</v>
      </c>
    </row>
    <row r="9" spans="1:24" x14ac:dyDescent="0.2">
      <c r="A9" s="7" t="s">
        <v>73</v>
      </c>
      <c r="B9" s="26">
        <v>108400</v>
      </c>
      <c r="C9" s="26">
        <v>105026</v>
      </c>
      <c r="D9" s="26">
        <v>111934</v>
      </c>
      <c r="E9" s="26">
        <v>130993</v>
      </c>
      <c r="F9" s="26">
        <v>124464</v>
      </c>
      <c r="G9" s="26">
        <v>146048</v>
      </c>
      <c r="H9" s="26">
        <v>161571</v>
      </c>
      <c r="I9" s="26">
        <v>152614</v>
      </c>
      <c r="J9" s="26">
        <v>165968</v>
      </c>
      <c r="K9" s="26">
        <v>170663</v>
      </c>
      <c r="L9" s="26">
        <v>155582</v>
      </c>
      <c r="M9" s="26">
        <v>167037</v>
      </c>
      <c r="N9" s="26">
        <v>195284</v>
      </c>
      <c r="O9" s="26">
        <v>198179</v>
      </c>
      <c r="P9" s="26">
        <v>181487</v>
      </c>
      <c r="Q9" s="26">
        <v>190608</v>
      </c>
      <c r="R9" s="26">
        <v>183577</v>
      </c>
      <c r="S9" s="26">
        <v>188385</v>
      </c>
      <c r="T9" s="26">
        <v>105202</v>
      </c>
      <c r="U9" s="26">
        <v>125608</v>
      </c>
      <c r="V9" s="26">
        <v>207425</v>
      </c>
      <c r="W9" s="26">
        <v>226244</v>
      </c>
      <c r="X9" s="26">
        <v>229625</v>
      </c>
    </row>
    <row r="10" spans="1:24" x14ac:dyDescent="0.2">
      <c r="A10" s="7" t="s">
        <v>1</v>
      </c>
      <c r="B10" s="26">
        <v>89318</v>
      </c>
      <c r="C10" s="26">
        <v>91837</v>
      </c>
      <c r="D10" s="26">
        <v>91355</v>
      </c>
      <c r="E10" s="26">
        <v>86885</v>
      </c>
      <c r="F10" s="26">
        <v>92819</v>
      </c>
      <c r="G10" s="26">
        <v>103382</v>
      </c>
      <c r="H10" s="26">
        <v>111524</v>
      </c>
      <c r="I10" s="26">
        <v>124016</v>
      </c>
      <c r="J10" s="26">
        <v>127440</v>
      </c>
      <c r="K10" s="26">
        <v>128961</v>
      </c>
      <c r="L10" s="26">
        <v>130580</v>
      </c>
      <c r="M10" s="26">
        <v>136061</v>
      </c>
      <c r="N10" s="26">
        <v>145169</v>
      </c>
      <c r="O10" s="26">
        <v>152341</v>
      </c>
      <c r="P10" s="26">
        <v>173107</v>
      </c>
      <c r="Q10" s="26">
        <v>177195</v>
      </c>
      <c r="R10" s="26">
        <v>182859</v>
      </c>
      <c r="S10" s="26">
        <v>184558</v>
      </c>
      <c r="T10" s="26">
        <v>90108</v>
      </c>
      <c r="U10" s="26">
        <v>123636</v>
      </c>
      <c r="V10" s="26">
        <v>201740</v>
      </c>
      <c r="W10" s="26">
        <v>201405</v>
      </c>
      <c r="X10" s="26">
        <v>181545</v>
      </c>
    </row>
    <row r="11" spans="1:24" x14ac:dyDescent="0.2">
      <c r="A11" s="7" t="s">
        <v>74</v>
      </c>
      <c r="B11" s="26">
        <v>53032</v>
      </c>
      <c r="C11" s="26">
        <v>45580</v>
      </c>
      <c r="D11" s="26">
        <v>46826</v>
      </c>
      <c r="E11" s="26">
        <v>55413</v>
      </c>
      <c r="F11" s="26">
        <v>67099</v>
      </c>
      <c r="G11" s="26">
        <v>69616</v>
      </c>
      <c r="H11" s="26">
        <v>71774</v>
      </c>
      <c r="I11" s="26">
        <v>73172</v>
      </c>
      <c r="J11" s="26">
        <v>102963</v>
      </c>
      <c r="K11" s="26">
        <v>113032</v>
      </c>
      <c r="L11" s="26">
        <v>115014</v>
      </c>
      <c r="M11" s="26">
        <v>111113</v>
      </c>
      <c r="N11" s="26">
        <v>117749</v>
      </c>
      <c r="O11" s="26">
        <v>123232</v>
      </c>
      <c r="P11" s="26">
        <v>125474</v>
      </c>
      <c r="Q11" s="26">
        <v>126209</v>
      </c>
      <c r="R11" s="26">
        <v>127343</v>
      </c>
      <c r="S11" s="26">
        <v>110586</v>
      </c>
      <c r="T11" s="26">
        <v>67226</v>
      </c>
      <c r="U11" s="26">
        <v>84263</v>
      </c>
      <c r="V11" s="26">
        <v>134558</v>
      </c>
      <c r="W11" s="26">
        <v>133513</v>
      </c>
      <c r="X11" s="26">
        <v>139528</v>
      </c>
    </row>
    <row r="12" spans="1:24" x14ac:dyDescent="0.2">
      <c r="A12" s="7" t="s">
        <v>5</v>
      </c>
      <c r="B12" s="26">
        <v>5169</v>
      </c>
      <c r="C12" s="26">
        <v>5513</v>
      </c>
      <c r="D12" s="26">
        <v>5898</v>
      </c>
      <c r="E12" s="26">
        <v>5986</v>
      </c>
      <c r="F12" s="26">
        <v>5717</v>
      </c>
      <c r="G12" s="26">
        <v>5410</v>
      </c>
      <c r="H12" s="26">
        <v>2819</v>
      </c>
      <c r="I12" s="26">
        <v>2026</v>
      </c>
      <c r="J12" s="26">
        <v>2041</v>
      </c>
      <c r="K12" s="26">
        <v>2784</v>
      </c>
      <c r="L12" s="26">
        <v>3005</v>
      </c>
      <c r="M12" s="26">
        <v>3198</v>
      </c>
      <c r="N12" s="26">
        <v>3419</v>
      </c>
      <c r="O12" s="26">
        <v>3534</v>
      </c>
      <c r="P12" s="26">
        <v>3639</v>
      </c>
      <c r="Q12" s="26">
        <v>13331</v>
      </c>
      <c r="R12" s="26">
        <v>13528</v>
      </c>
      <c r="S12" s="26">
        <v>13866</v>
      </c>
      <c r="T12" s="26">
        <v>6480</v>
      </c>
      <c r="U12" s="26">
        <v>14639</v>
      </c>
      <c r="V12" s="26">
        <v>20748</v>
      </c>
      <c r="W12" s="26">
        <v>23116</v>
      </c>
      <c r="X12" s="26">
        <v>30576</v>
      </c>
    </row>
    <row r="13" spans="1:24" x14ac:dyDescent="0.2">
      <c r="A13" s="7" t="s">
        <v>77</v>
      </c>
      <c r="B13" s="26">
        <v>128502</v>
      </c>
      <c r="C13" s="26">
        <v>135394</v>
      </c>
      <c r="D13" s="26">
        <v>156562</v>
      </c>
      <c r="E13" s="26">
        <v>157162</v>
      </c>
      <c r="F13" s="26">
        <v>174365</v>
      </c>
      <c r="G13" s="26">
        <v>166842</v>
      </c>
      <c r="H13" s="26">
        <v>172234</v>
      </c>
      <c r="I13" s="26">
        <v>173669</v>
      </c>
      <c r="J13" s="26">
        <v>183410</v>
      </c>
      <c r="K13" s="26">
        <v>176774</v>
      </c>
      <c r="L13" s="26">
        <v>200037</v>
      </c>
      <c r="M13" s="26">
        <v>193155</v>
      </c>
      <c r="N13" s="26">
        <v>211222</v>
      </c>
      <c r="O13" s="26">
        <v>236130</v>
      </c>
      <c r="P13" s="26">
        <v>247955</v>
      </c>
      <c r="Q13" s="26">
        <v>257974</v>
      </c>
      <c r="R13" s="26">
        <v>245120</v>
      </c>
      <c r="S13" s="26">
        <v>243542</v>
      </c>
      <c r="T13" s="26">
        <v>147227</v>
      </c>
      <c r="U13" s="26">
        <v>176931</v>
      </c>
      <c r="V13" s="26">
        <v>264551</v>
      </c>
      <c r="W13" s="26">
        <v>272561</v>
      </c>
      <c r="X13" s="26">
        <v>262992</v>
      </c>
    </row>
    <row r="14" spans="1:24" x14ac:dyDescent="0.2">
      <c r="A14" s="7" t="s">
        <v>78</v>
      </c>
      <c r="B14" s="26">
        <v>130382</v>
      </c>
      <c r="C14" s="26">
        <v>121241</v>
      </c>
      <c r="D14" s="26">
        <v>128498</v>
      </c>
      <c r="E14" s="26">
        <v>121618</v>
      </c>
      <c r="F14" s="26">
        <v>144368</v>
      </c>
      <c r="G14" s="26">
        <v>183102</v>
      </c>
      <c r="H14" s="26">
        <v>177615</v>
      </c>
      <c r="I14" s="26">
        <v>160324</v>
      </c>
      <c r="J14" s="26">
        <v>187644</v>
      </c>
      <c r="K14" s="26">
        <v>189679</v>
      </c>
      <c r="L14" s="26">
        <v>195657</v>
      </c>
      <c r="M14" s="26">
        <v>179564</v>
      </c>
      <c r="N14" s="26">
        <v>201121</v>
      </c>
      <c r="O14" s="26">
        <v>229608</v>
      </c>
      <c r="P14" s="26">
        <v>245943</v>
      </c>
      <c r="Q14" s="26">
        <v>254999</v>
      </c>
      <c r="R14" s="26">
        <v>247467</v>
      </c>
      <c r="S14" s="26">
        <v>204928</v>
      </c>
      <c r="T14" s="26">
        <v>117149</v>
      </c>
      <c r="U14" s="26">
        <v>149893</v>
      </c>
      <c r="V14" s="26">
        <v>241951</v>
      </c>
      <c r="W14" s="26">
        <v>235712</v>
      </c>
      <c r="X14" s="26">
        <v>210362</v>
      </c>
    </row>
    <row r="15" spans="1:24" x14ac:dyDescent="0.2">
      <c r="A15" s="7" t="s">
        <v>2</v>
      </c>
      <c r="B15" s="26">
        <v>374289.09108661499</v>
      </c>
      <c r="C15" s="26">
        <v>364437.67996844475</v>
      </c>
      <c r="D15" s="26">
        <v>368407.51051326736</v>
      </c>
      <c r="E15" s="26">
        <v>391145.19819321344</v>
      </c>
      <c r="F15" s="26">
        <v>405408.74110574462</v>
      </c>
      <c r="G15" s="26">
        <v>405654.29997812753</v>
      </c>
      <c r="H15" s="26">
        <v>399013.55955298489</v>
      </c>
      <c r="I15" s="26">
        <v>391479.1611503294</v>
      </c>
      <c r="J15" s="26">
        <v>397609.3134216097</v>
      </c>
      <c r="K15" s="26">
        <v>433514.97897406272</v>
      </c>
      <c r="L15" s="26">
        <v>425793.21843799029</v>
      </c>
      <c r="M15" s="26">
        <v>422852.53834195231</v>
      </c>
      <c r="N15" s="26">
        <v>436937.43110238452</v>
      </c>
      <c r="O15" s="26">
        <v>425373.37469616765</v>
      </c>
      <c r="P15" s="26">
        <v>433039.73011584819</v>
      </c>
      <c r="Q15" s="26">
        <v>442802.42307015811</v>
      </c>
      <c r="R15" s="26">
        <v>436671.42039404251</v>
      </c>
      <c r="S15" s="26">
        <v>489508.72122895147</v>
      </c>
      <c r="T15" s="26">
        <v>254963.08947087993</v>
      </c>
      <c r="U15" s="26">
        <v>315484.18483632739</v>
      </c>
      <c r="V15" s="26">
        <v>515399.3493172368</v>
      </c>
      <c r="W15" s="26">
        <v>515446.93353327992</v>
      </c>
      <c r="X15" s="26">
        <v>510981.07678391121</v>
      </c>
    </row>
    <row r="16" spans="1:24" x14ac:dyDescent="0.2">
      <c r="A16" s="7" t="s">
        <v>75</v>
      </c>
      <c r="B16" s="26">
        <v>83721</v>
      </c>
      <c r="C16" s="26">
        <v>100228</v>
      </c>
      <c r="D16" s="26">
        <v>112507</v>
      </c>
      <c r="E16" s="26">
        <v>108671</v>
      </c>
      <c r="F16" s="26">
        <v>115904</v>
      </c>
      <c r="G16" s="26">
        <v>117524</v>
      </c>
      <c r="H16" s="26">
        <v>117274</v>
      </c>
      <c r="I16" s="26">
        <v>120428</v>
      </c>
      <c r="J16" s="26">
        <v>127238</v>
      </c>
      <c r="K16" s="26">
        <v>133656</v>
      </c>
      <c r="L16" s="26">
        <v>143322</v>
      </c>
      <c r="M16" s="26">
        <v>141308</v>
      </c>
      <c r="N16" s="26">
        <v>143787</v>
      </c>
      <c r="O16" s="26">
        <v>141733</v>
      </c>
      <c r="P16" s="26">
        <v>143104</v>
      </c>
      <c r="Q16" s="26">
        <v>154702</v>
      </c>
      <c r="R16" s="26">
        <v>154279</v>
      </c>
      <c r="S16" s="26">
        <v>143146</v>
      </c>
      <c r="T16" s="26">
        <v>84355</v>
      </c>
      <c r="U16" s="26">
        <v>105147</v>
      </c>
      <c r="V16" s="26">
        <v>173016</v>
      </c>
      <c r="W16" s="26">
        <v>184334</v>
      </c>
      <c r="X16" s="26">
        <v>199536</v>
      </c>
    </row>
    <row r="17" spans="1:24" x14ac:dyDescent="0.2">
      <c r="A17" s="7" t="s">
        <v>79</v>
      </c>
      <c r="B17" s="26">
        <v>159479</v>
      </c>
      <c r="C17" s="26">
        <v>148644</v>
      </c>
      <c r="D17" s="26">
        <v>164531</v>
      </c>
      <c r="E17" s="26">
        <v>196116</v>
      </c>
      <c r="F17" s="26">
        <v>195179</v>
      </c>
      <c r="G17" s="26">
        <v>228360</v>
      </c>
      <c r="H17" s="26">
        <v>228321</v>
      </c>
      <c r="I17" s="26">
        <v>212665</v>
      </c>
      <c r="J17" s="26">
        <v>216787</v>
      </c>
      <c r="K17" s="26">
        <v>228671</v>
      </c>
      <c r="L17" s="26">
        <v>239100</v>
      </c>
      <c r="M17" s="26">
        <v>257825</v>
      </c>
      <c r="N17" s="26">
        <v>273589</v>
      </c>
      <c r="O17" s="26">
        <v>285361</v>
      </c>
      <c r="P17" s="26">
        <v>306421</v>
      </c>
      <c r="Q17" s="26">
        <v>350017</v>
      </c>
      <c r="R17" s="26">
        <v>334577</v>
      </c>
      <c r="S17" s="26">
        <v>360024</v>
      </c>
      <c r="T17" s="26">
        <v>184493</v>
      </c>
      <c r="U17" s="26">
        <v>243666</v>
      </c>
      <c r="V17" s="26">
        <v>407583</v>
      </c>
      <c r="W17" s="26">
        <v>407311</v>
      </c>
      <c r="X17" s="26">
        <v>387052</v>
      </c>
    </row>
    <row r="18" spans="1:24" x14ac:dyDescent="0.2">
      <c r="A18" s="7" t="s">
        <v>80</v>
      </c>
      <c r="B18" s="26">
        <v>130643</v>
      </c>
      <c r="C18" s="26">
        <v>123673</v>
      </c>
      <c r="D18" s="26">
        <v>140374</v>
      </c>
      <c r="E18" s="26">
        <v>149156</v>
      </c>
      <c r="F18" s="26">
        <v>167414</v>
      </c>
      <c r="G18" s="26">
        <v>172681</v>
      </c>
      <c r="H18" s="26">
        <v>178737</v>
      </c>
      <c r="I18" s="26">
        <v>170875</v>
      </c>
      <c r="J18" s="26">
        <v>181512</v>
      </c>
      <c r="K18" s="26">
        <v>196077</v>
      </c>
      <c r="L18" s="26">
        <v>203813</v>
      </c>
      <c r="M18" s="26">
        <v>218125</v>
      </c>
      <c r="N18" s="26">
        <v>245253</v>
      </c>
      <c r="O18" s="26">
        <v>257987</v>
      </c>
      <c r="P18" s="26">
        <v>277084</v>
      </c>
      <c r="Q18" s="26">
        <v>285037</v>
      </c>
      <c r="R18" s="26">
        <v>288523</v>
      </c>
      <c r="S18" s="26">
        <v>320829</v>
      </c>
      <c r="T18" s="26">
        <v>154104</v>
      </c>
      <c r="U18" s="26">
        <v>209528</v>
      </c>
      <c r="V18" s="26">
        <v>325657</v>
      </c>
      <c r="W18" s="26">
        <v>334046</v>
      </c>
      <c r="X18" s="26">
        <v>357683</v>
      </c>
    </row>
    <row r="19" spans="1:24" x14ac:dyDescent="0.2">
      <c r="A19" s="7" t="s">
        <v>3</v>
      </c>
      <c r="B19" s="26">
        <v>80151</v>
      </c>
      <c r="C19" s="26">
        <v>97816</v>
      </c>
      <c r="D19" s="26">
        <v>81927</v>
      </c>
      <c r="E19" s="26">
        <v>83702</v>
      </c>
      <c r="F19" s="26">
        <v>108729</v>
      </c>
      <c r="G19" s="26">
        <v>117470</v>
      </c>
      <c r="H19" s="26">
        <v>105905</v>
      </c>
      <c r="I19" s="26">
        <v>111570</v>
      </c>
      <c r="J19" s="26">
        <v>129754</v>
      </c>
      <c r="K19" s="26">
        <v>132967</v>
      </c>
      <c r="L19" s="26">
        <v>126197</v>
      </c>
      <c r="M19" s="26">
        <v>149914</v>
      </c>
      <c r="N19" s="26">
        <v>157666</v>
      </c>
      <c r="O19" s="26">
        <v>167482</v>
      </c>
      <c r="P19" s="26">
        <v>149134</v>
      </c>
      <c r="Q19" s="26">
        <v>157553</v>
      </c>
      <c r="R19" s="26">
        <v>169206</v>
      </c>
      <c r="S19" s="26">
        <v>179517</v>
      </c>
      <c r="T19" s="26">
        <v>95516</v>
      </c>
      <c r="U19" s="26">
        <v>117433</v>
      </c>
      <c r="V19" s="26">
        <v>195027</v>
      </c>
      <c r="W19" s="26">
        <v>195347</v>
      </c>
      <c r="X19" s="26">
        <v>209095</v>
      </c>
    </row>
    <row r="20" spans="1:24" x14ac:dyDescent="0.2">
      <c r="A20" s="7" t="s">
        <v>4</v>
      </c>
      <c r="B20" s="26">
        <v>147949</v>
      </c>
      <c r="C20" s="26">
        <v>146011</v>
      </c>
      <c r="D20" s="26">
        <v>148935</v>
      </c>
      <c r="E20" s="26">
        <v>161568</v>
      </c>
      <c r="F20" s="26">
        <v>169116</v>
      </c>
      <c r="G20" s="26">
        <v>170485</v>
      </c>
      <c r="H20" s="26">
        <v>179060</v>
      </c>
      <c r="I20" s="26">
        <v>182240</v>
      </c>
      <c r="J20" s="26">
        <v>191824</v>
      </c>
      <c r="K20" s="26">
        <v>193967</v>
      </c>
      <c r="L20" s="26">
        <v>187303</v>
      </c>
      <c r="M20" s="26">
        <v>196017</v>
      </c>
      <c r="N20" s="26">
        <v>192150</v>
      </c>
      <c r="O20" s="26">
        <v>192868</v>
      </c>
      <c r="P20" s="26">
        <v>201891</v>
      </c>
      <c r="Q20" s="26">
        <v>220552</v>
      </c>
      <c r="R20" s="26">
        <v>224055</v>
      </c>
      <c r="S20" s="26">
        <v>240236</v>
      </c>
      <c r="T20" s="26">
        <v>119356</v>
      </c>
      <c r="U20" s="26">
        <v>145985</v>
      </c>
      <c r="V20" s="26">
        <v>234043</v>
      </c>
      <c r="W20" s="26">
        <v>239660</v>
      </c>
      <c r="X20" s="26">
        <v>228932</v>
      </c>
    </row>
    <row r="21" spans="1:24" s="48" customFormat="1" x14ac:dyDescent="0.2">
      <c r="A21" s="49" t="s">
        <v>0</v>
      </c>
      <c r="B21" s="71">
        <v>1710040.0910866149</v>
      </c>
      <c r="C21" s="71">
        <v>1704119.6799684446</v>
      </c>
      <c r="D21" s="71">
        <v>1803413.5105132675</v>
      </c>
      <c r="E21" s="71">
        <v>1893661.1981932134</v>
      </c>
      <c r="F21" s="71">
        <v>2026159.7411057446</v>
      </c>
      <c r="G21" s="71">
        <v>2142008.2999781277</v>
      </c>
      <c r="H21" s="71">
        <v>2151251.5595529848</v>
      </c>
      <c r="I21" s="71">
        <v>2140476.1611503293</v>
      </c>
      <c r="J21" s="71">
        <v>2272527.3134216098</v>
      </c>
      <c r="K21" s="71">
        <v>2361580.9789740629</v>
      </c>
      <c r="L21" s="71">
        <v>2383672.2184379902</v>
      </c>
      <c r="M21" s="71">
        <v>2453410.5383419525</v>
      </c>
      <c r="N21" s="71">
        <v>2636841.4311023848</v>
      </c>
      <c r="O21" s="71">
        <v>2755493.3746961677</v>
      </c>
      <c r="P21" s="71">
        <v>2809606.7301158481</v>
      </c>
      <c r="Q21" s="71">
        <v>2997762.4230701579</v>
      </c>
      <c r="R21" s="71">
        <v>3014950.4203940425</v>
      </c>
      <c r="S21" s="71">
        <v>3120660.7212289516</v>
      </c>
      <c r="T21" s="71">
        <v>1648148.0894708799</v>
      </c>
      <c r="U21" s="71">
        <v>2080422.1848363273</v>
      </c>
      <c r="V21" s="71">
        <v>3368175.3493172368</v>
      </c>
      <c r="W21" s="71">
        <v>3407415.9335332802</v>
      </c>
      <c r="X21" s="71">
        <v>3406617.0767839113</v>
      </c>
    </row>
    <row r="23" spans="1:24" x14ac:dyDescent="0.2">
      <c r="W23" s="81"/>
      <c r="X23" s="81"/>
    </row>
  </sheetData>
  <hyperlinks>
    <hyperlink ref="A2" location="Sommaire!A1" display="Retour au menu &quot;Exploitation des films&quot;" xr:uid="{00000000-0004-0000-1000-000000000000}"/>
  </hyperlinks>
  <pageMargins left="0.78740157499999996" right="0.78740157499999996" top="0.984251969" bottom="0.984251969" header="0.4921259845" footer="0.492125984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23"/>
  <sheetViews>
    <sheetView workbookViewId="0"/>
  </sheetViews>
  <sheetFormatPr baseColWidth="10" defaultColWidth="5.5703125" defaultRowHeight="12" x14ac:dyDescent="0.2"/>
  <cols>
    <col min="1" max="1" width="56" style="46" bestFit="1" customWidth="1"/>
    <col min="2" max="4" width="5.42578125" style="46" bestFit="1" customWidth="1"/>
    <col min="5" max="18" width="5.42578125" style="47" bestFit="1" customWidth="1"/>
    <col min="19" max="19" width="5.42578125" style="46" bestFit="1" customWidth="1"/>
    <col min="20" max="20" width="5.5703125" style="46"/>
    <col min="21" max="22" width="5.42578125" style="46" bestFit="1" customWidth="1"/>
    <col min="23" max="24" width="5.7109375" style="46" customWidth="1"/>
    <col min="25"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51</v>
      </c>
      <c r="B5" s="45"/>
      <c r="C5" s="45"/>
    </row>
    <row r="6" spans="1:24" ht="3" customHeight="1" x14ac:dyDescent="0.2"/>
    <row r="7" spans="1:24" s="48" customFormat="1" x14ac:dyDescent="0.2">
      <c r="A7" s="11"/>
      <c r="B7" s="12">
        <v>2002</v>
      </c>
      <c r="C7" s="12">
        <v>2003</v>
      </c>
      <c r="D7" s="12">
        <v>2004</v>
      </c>
      <c r="E7" s="12">
        <v>2005</v>
      </c>
      <c r="F7" s="12">
        <v>2006</v>
      </c>
      <c r="G7" s="12">
        <v>2007</v>
      </c>
      <c r="H7" s="12">
        <v>2008</v>
      </c>
      <c r="I7" s="12">
        <v>2009</v>
      </c>
      <c r="J7" s="12">
        <v>2010</v>
      </c>
      <c r="K7" s="12">
        <v>2011</v>
      </c>
      <c r="L7" s="12">
        <v>2012</v>
      </c>
      <c r="M7" s="12">
        <v>2013</v>
      </c>
      <c r="N7" s="12">
        <v>2014</v>
      </c>
      <c r="O7" s="12">
        <v>2015</v>
      </c>
      <c r="P7" s="12">
        <v>2016</v>
      </c>
      <c r="Q7" s="12">
        <v>2017</v>
      </c>
      <c r="R7" s="12">
        <v>2018</v>
      </c>
      <c r="S7" s="12">
        <v>2019</v>
      </c>
      <c r="T7" s="12">
        <v>2020</v>
      </c>
      <c r="U7" s="12">
        <v>2021</v>
      </c>
      <c r="V7" s="12">
        <v>2022</v>
      </c>
      <c r="W7" s="12">
        <v>2023</v>
      </c>
      <c r="X7" s="12">
        <v>2024</v>
      </c>
    </row>
    <row r="8" spans="1:24" x14ac:dyDescent="0.2">
      <c r="A8" s="7" t="s">
        <v>72</v>
      </c>
      <c r="B8" s="24">
        <v>6212021</v>
      </c>
      <c r="C8" s="24">
        <v>5885761</v>
      </c>
      <c r="D8" s="24">
        <v>7507173</v>
      </c>
      <c r="E8" s="24">
        <v>6319761</v>
      </c>
      <c r="F8" s="24">
        <v>7249463</v>
      </c>
      <c r="G8" s="24">
        <v>6820146</v>
      </c>
      <c r="H8" s="24">
        <v>6312534</v>
      </c>
      <c r="I8" s="24">
        <v>6830222</v>
      </c>
      <c r="J8" s="24">
        <v>6681179</v>
      </c>
      <c r="K8" s="24">
        <v>7170255</v>
      </c>
      <c r="L8" s="24">
        <v>6062366</v>
      </c>
      <c r="M8" s="24">
        <v>6300384</v>
      </c>
      <c r="N8" s="24">
        <v>7629691</v>
      </c>
      <c r="O8" s="24">
        <v>8050173</v>
      </c>
      <c r="P8" s="24">
        <v>7886480</v>
      </c>
      <c r="Q8" s="24">
        <v>8521098</v>
      </c>
      <c r="R8" s="24">
        <v>9100632</v>
      </c>
      <c r="S8" s="24">
        <v>10517238</v>
      </c>
      <c r="T8" s="24">
        <v>3446213</v>
      </c>
      <c r="U8" s="24">
        <v>4758165</v>
      </c>
      <c r="V8" s="24">
        <v>7807496</v>
      </c>
      <c r="W8" s="24">
        <v>9569897</v>
      </c>
      <c r="X8" s="24">
        <v>10192365</v>
      </c>
    </row>
    <row r="9" spans="1:24" x14ac:dyDescent="0.2">
      <c r="A9" s="7" t="s">
        <v>73</v>
      </c>
      <c r="B9" s="24">
        <v>2795820</v>
      </c>
      <c r="C9" s="24">
        <v>2498007</v>
      </c>
      <c r="D9" s="24">
        <v>3075591</v>
      </c>
      <c r="E9" s="24">
        <v>2771146</v>
      </c>
      <c r="F9" s="24">
        <v>2933752</v>
      </c>
      <c r="G9" s="24">
        <v>3240798</v>
      </c>
      <c r="H9" s="24">
        <v>3539400</v>
      </c>
      <c r="I9" s="24">
        <v>3410035</v>
      </c>
      <c r="J9" s="24">
        <v>3681544</v>
      </c>
      <c r="K9" s="24">
        <v>3944380</v>
      </c>
      <c r="L9" s="24">
        <v>3250751</v>
      </c>
      <c r="M9" s="24">
        <v>3074776</v>
      </c>
      <c r="N9" s="24">
        <v>4084717</v>
      </c>
      <c r="O9" s="24">
        <v>4124412</v>
      </c>
      <c r="P9" s="24">
        <v>3978772</v>
      </c>
      <c r="Q9" s="24">
        <v>4023420</v>
      </c>
      <c r="R9" s="24">
        <v>3585787</v>
      </c>
      <c r="S9" s="24">
        <v>3803673</v>
      </c>
      <c r="T9" s="24">
        <v>1343605</v>
      </c>
      <c r="U9" s="24">
        <v>1910045</v>
      </c>
      <c r="V9" s="24">
        <v>3026249</v>
      </c>
      <c r="W9" s="24">
        <v>4047658</v>
      </c>
      <c r="X9" s="24">
        <v>4194858</v>
      </c>
    </row>
    <row r="10" spans="1:24" x14ac:dyDescent="0.2">
      <c r="A10" s="7" t="s">
        <v>1</v>
      </c>
      <c r="B10" s="24">
        <v>3359949</v>
      </c>
      <c r="C10" s="24">
        <v>3171888</v>
      </c>
      <c r="D10" s="24">
        <v>3744593</v>
      </c>
      <c r="E10" s="24">
        <v>2966091</v>
      </c>
      <c r="F10" s="24">
        <v>3224232</v>
      </c>
      <c r="G10" s="24">
        <v>3256304</v>
      </c>
      <c r="H10" s="24">
        <v>3490180</v>
      </c>
      <c r="I10" s="24">
        <v>3734195</v>
      </c>
      <c r="J10" s="24">
        <v>3873794</v>
      </c>
      <c r="K10" s="24">
        <v>4119757</v>
      </c>
      <c r="L10" s="24">
        <v>3869384</v>
      </c>
      <c r="M10" s="24">
        <v>3642580</v>
      </c>
      <c r="N10" s="24">
        <v>4166475</v>
      </c>
      <c r="O10" s="24">
        <v>4227895</v>
      </c>
      <c r="P10" s="24">
        <v>5012082</v>
      </c>
      <c r="Q10" s="24">
        <v>4957142</v>
      </c>
      <c r="R10" s="24">
        <v>4776554</v>
      </c>
      <c r="S10" s="24">
        <v>5094105</v>
      </c>
      <c r="T10" s="24">
        <v>1643301</v>
      </c>
      <c r="U10" s="24">
        <v>2459789</v>
      </c>
      <c r="V10" s="24">
        <v>3923340</v>
      </c>
      <c r="W10" s="24">
        <v>5011454</v>
      </c>
      <c r="X10" s="24">
        <v>4528562</v>
      </c>
    </row>
    <row r="11" spans="1:24" x14ac:dyDescent="0.2">
      <c r="A11" s="7" t="s">
        <v>74</v>
      </c>
      <c r="B11" s="24">
        <v>1399336</v>
      </c>
      <c r="C11" s="24">
        <v>1150496</v>
      </c>
      <c r="D11" s="24">
        <v>1316806</v>
      </c>
      <c r="E11" s="24">
        <v>1346127</v>
      </c>
      <c r="F11" s="24">
        <v>1666958</v>
      </c>
      <c r="G11" s="24">
        <v>1696721</v>
      </c>
      <c r="H11" s="24">
        <v>1806444</v>
      </c>
      <c r="I11" s="24">
        <v>1954547</v>
      </c>
      <c r="J11" s="24">
        <v>2587235</v>
      </c>
      <c r="K11" s="24">
        <v>3045905</v>
      </c>
      <c r="L11" s="24">
        <v>2858578</v>
      </c>
      <c r="M11" s="24">
        <v>2634484</v>
      </c>
      <c r="N11" s="24">
        <v>3023544</v>
      </c>
      <c r="O11" s="24">
        <v>3034392</v>
      </c>
      <c r="P11" s="24">
        <v>3234382</v>
      </c>
      <c r="Q11" s="24">
        <v>3256917</v>
      </c>
      <c r="R11" s="24">
        <v>2944195</v>
      </c>
      <c r="S11" s="24">
        <v>2826889</v>
      </c>
      <c r="T11" s="24">
        <v>1025902</v>
      </c>
      <c r="U11" s="24">
        <v>1445422</v>
      </c>
      <c r="V11" s="24">
        <v>2331897</v>
      </c>
      <c r="W11" s="24">
        <v>2755464</v>
      </c>
      <c r="X11" s="24">
        <v>2842648</v>
      </c>
    </row>
    <row r="12" spans="1:24" x14ac:dyDescent="0.2">
      <c r="A12" s="7" t="s">
        <v>5</v>
      </c>
      <c r="B12" s="24">
        <v>169322</v>
      </c>
      <c r="C12" s="24">
        <v>153280</v>
      </c>
      <c r="D12" s="24">
        <v>200507</v>
      </c>
      <c r="E12" s="24">
        <v>149365</v>
      </c>
      <c r="F12" s="24">
        <v>154338</v>
      </c>
      <c r="G12" s="24">
        <v>148430</v>
      </c>
      <c r="H12" s="24">
        <v>67731</v>
      </c>
      <c r="I12" s="24">
        <v>56986</v>
      </c>
      <c r="J12" s="24">
        <v>70276</v>
      </c>
      <c r="K12" s="24">
        <v>97968</v>
      </c>
      <c r="L12" s="24">
        <v>105164</v>
      </c>
      <c r="M12" s="24">
        <v>99705</v>
      </c>
      <c r="N12" s="24">
        <v>107389</v>
      </c>
      <c r="O12" s="24">
        <v>103680</v>
      </c>
      <c r="P12" s="24">
        <v>90691</v>
      </c>
      <c r="Q12" s="24">
        <v>454993</v>
      </c>
      <c r="R12" s="24">
        <v>419215</v>
      </c>
      <c r="S12" s="24">
        <v>428356</v>
      </c>
      <c r="T12" s="24">
        <v>109450</v>
      </c>
      <c r="U12" s="24">
        <v>274270</v>
      </c>
      <c r="V12" s="24">
        <v>392844</v>
      </c>
      <c r="W12" s="24">
        <v>509748</v>
      </c>
      <c r="X12" s="24">
        <v>618783</v>
      </c>
    </row>
    <row r="13" spans="1:24" x14ac:dyDescent="0.2">
      <c r="A13" s="7" t="s">
        <v>77</v>
      </c>
      <c r="B13" s="24">
        <v>3350594</v>
      </c>
      <c r="C13" s="24">
        <v>3163728</v>
      </c>
      <c r="D13" s="24">
        <v>4037786</v>
      </c>
      <c r="E13" s="24">
        <v>3527544</v>
      </c>
      <c r="F13" s="24">
        <v>4023180</v>
      </c>
      <c r="G13" s="24">
        <v>3560886</v>
      </c>
      <c r="H13" s="24">
        <v>3849833</v>
      </c>
      <c r="I13" s="24">
        <v>3995091</v>
      </c>
      <c r="J13" s="24">
        <v>4009817</v>
      </c>
      <c r="K13" s="24">
        <v>4052443</v>
      </c>
      <c r="L13" s="24">
        <v>4157024</v>
      </c>
      <c r="M13" s="24">
        <v>3881167</v>
      </c>
      <c r="N13" s="24">
        <v>4637353</v>
      </c>
      <c r="O13" s="24">
        <v>5290363</v>
      </c>
      <c r="P13" s="24">
        <v>5642456</v>
      </c>
      <c r="Q13" s="24">
        <v>5645998</v>
      </c>
      <c r="R13" s="24">
        <v>5072217</v>
      </c>
      <c r="S13" s="24">
        <v>5340566</v>
      </c>
      <c r="T13" s="24">
        <v>2002609</v>
      </c>
      <c r="U13" s="24">
        <v>2833463</v>
      </c>
      <c r="V13" s="24">
        <v>4017675</v>
      </c>
      <c r="W13" s="24">
        <v>5003324</v>
      </c>
      <c r="X13" s="24">
        <v>4676932</v>
      </c>
    </row>
    <row r="14" spans="1:24" x14ac:dyDescent="0.2">
      <c r="A14" s="7" t="s">
        <v>78</v>
      </c>
      <c r="B14" s="24">
        <v>3298300</v>
      </c>
      <c r="C14" s="24">
        <v>2842276</v>
      </c>
      <c r="D14" s="24">
        <v>3266841</v>
      </c>
      <c r="E14" s="24">
        <v>2766139</v>
      </c>
      <c r="F14" s="24">
        <v>3407011</v>
      </c>
      <c r="G14" s="24">
        <v>3807026</v>
      </c>
      <c r="H14" s="24">
        <v>3997360</v>
      </c>
      <c r="I14" s="24">
        <v>3566005</v>
      </c>
      <c r="J14" s="24">
        <v>4142130</v>
      </c>
      <c r="K14" s="24">
        <v>4537359</v>
      </c>
      <c r="L14" s="24">
        <v>4283533</v>
      </c>
      <c r="M14" s="24">
        <v>3671511</v>
      </c>
      <c r="N14" s="24">
        <v>4726808</v>
      </c>
      <c r="O14" s="24">
        <v>5064964</v>
      </c>
      <c r="P14" s="24">
        <v>5616407</v>
      </c>
      <c r="Q14" s="24">
        <v>5638799</v>
      </c>
      <c r="R14" s="24">
        <v>5039717</v>
      </c>
      <c r="S14" s="24">
        <v>4348006</v>
      </c>
      <c r="T14" s="24">
        <v>1529316</v>
      </c>
      <c r="U14" s="24">
        <v>2328396</v>
      </c>
      <c r="V14" s="24">
        <v>3613163</v>
      </c>
      <c r="W14" s="24">
        <v>4547838</v>
      </c>
      <c r="X14" s="24">
        <v>4052003</v>
      </c>
    </row>
    <row r="15" spans="1:24" x14ac:dyDescent="0.2">
      <c r="A15" s="7" t="s">
        <v>2</v>
      </c>
      <c r="B15" s="24">
        <v>11207915.887318227</v>
      </c>
      <c r="C15" s="24">
        <v>9900828.4958802126</v>
      </c>
      <c r="D15" s="24">
        <v>10949406.690966081</v>
      </c>
      <c r="E15" s="24">
        <v>10331574.849614488</v>
      </c>
      <c r="F15" s="24">
        <v>10878457.565612713</v>
      </c>
      <c r="G15" s="24">
        <v>10069826.561794667</v>
      </c>
      <c r="H15" s="24">
        <v>9750296.6058315579</v>
      </c>
      <c r="I15" s="24">
        <v>9753723.4805864524</v>
      </c>
      <c r="J15" s="24">
        <v>9854058.1717459261</v>
      </c>
      <c r="K15" s="24">
        <v>10917218.036809145</v>
      </c>
      <c r="L15" s="24">
        <v>10216004.587493584</v>
      </c>
      <c r="M15" s="24">
        <v>10094925.822542448</v>
      </c>
      <c r="N15" s="24">
        <v>10542627.764705414</v>
      </c>
      <c r="O15" s="24">
        <v>9077663.8054568172</v>
      </c>
      <c r="P15" s="24">
        <v>9956015.2759146038</v>
      </c>
      <c r="Q15" s="24">
        <v>9716966.7300747484</v>
      </c>
      <c r="R15" s="24">
        <v>9142532.2040662076</v>
      </c>
      <c r="S15" s="24">
        <v>11229614.434819289</v>
      </c>
      <c r="T15" s="24">
        <v>4188629.3784189345</v>
      </c>
      <c r="U15" s="24">
        <v>5407811.1784714917</v>
      </c>
      <c r="V15" s="24">
        <v>9074488.0533653237</v>
      </c>
      <c r="W15" s="24">
        <v>10611043.176083632</v>
      </c>
      <c r="X15" s="24">
        <v>10702772.760776218</v>
      </c>
    </row>
    <row r="16" spans="1:24" x14ac:dyDescent="0.2">
      <c r="A16" s="7" t="s">
        <v>75</v>
      </c>
      <c r="B16" s="24">
        <v>2107896</v>
      </c>
      <c r="C16" s="24">
        <v>2700163</v>
      </c>
      <c r="D16" s="24">
        <v>3181022</v>
      </c>
      <c r="E16" s="24">
        <v>2858304</v>
      </c>
      <c r="F16" s="24">
        <v>3354567</v>
      </c>
      <c r="G16" s="24">
        <v>3019309</v>
      </c>
      <c r="H16" s="24">
        <v>3068861</v>
      </c>
      <c r="I16" s="24">
        <v>3053585</v>
      </c>
      <c r="J16" s="24">
        <v>3184096</v>
      </c>
      <c r="K16" s="24">
        <v>3620858</v>
      </c>
      <c r="L16" s="24">
        <v>3424661</v>
      </c>
      <c r="M16" s="24">
        <v>3095816</v>
      </c>
      <c r="N16" s="24">
        <v>3445959</v>
      </c>
      <c r="O16" s="24">
        <v>3307379</v>
      </c>
      <c r="P16" s="24">
        <v>3485358</v>
      </c>
      <c r="Q16" s="24">
        <v>3616641</v>
      </c>
      <c r="R16" s="24">
        <v>3427433</v>
      </c>
      <c r="S16" s="24">
        <v>3348506</v>
      </c>
      <c r="T16" s="24">
        <v>1330855</v>
      </c>
      <c r="U16" s="24">
        <v>2009648</v>
      </c>
      <c r="V16" s="24">
        <v>3039049</v>
      </c>
      <c r="W16" s="24">
        <v>3974503</v>
      </c>
      <c r="X16" s="24">
        <v>4336419</v>
      </c>
    </row>
    <row r="17" spans="1:24" x14ac:dyDescent="0.2">
      <c r="A17" s="7" t="s">
        <v>79</v>
      </c>
      <c r="B17" s="24">
        <v>4998359</v>
      </c>
      <c r="C17" s="24">
        <v>4074103</v>
      </c>
      <c r="D17" s="24">
        <v>5036521</v>
      </c>
      <c r="E17" s="24">
        <v>4815863</v>
      </c>
      <c r="F17" s="24">
        <v>5233886</v>
      </c>
      <c r="G17" s="24">
        <v>5593474</v>
      </c>
      <c r="H17" s="24">
        <v>5547101</v>
      </c>
      <c r="I17" s="24">
        <v>5333949</v>
      </c>
      <c r="J17" s="24">
        <v>5515561</v>
      </c>
      <c r="K17" s="24">
        <v>6193340</v>
      </c>
      <c r="L17" s="24">
        <v>5791567</v>
      </c>
      <c r="M17" s="24">
        <v>5701252</v>
      </c>
      <c r="N17" s="24">
        <v>6402875</v>
      </c>
      <c r="O17" s="24">
        <v>6420656</v>
      </c>
      <c r="P17" s="24">
        <v>7104817</v>
      </c>
      <c r="Q17" s="24">
        <v>7541634</v>
      </c>
      <c r="R17" s="24">
        <v>7140342</v>
      </c>
      <c r="S17" s="24">
        <v>7828706</v>
      </c>
      <c r="T17" s="24">
        <v>2626752</v>
      </c>
      <c r="U17" s="24">
        <v>4109472</v>
      </c>
      <c r="V17" s="24">
        <v>6656748</v>
      </c>
      <c r="W17" s="24">
        <v>7926704</v>
      </c>
      <c r="X17" s="24">
        <v>7797339</v>
      </c>
    </row>
    <row r="18" spans="1:24" x14ac:dyDescent="0.2">
      <c r="A18" s="7" t="s">
        <v>80</v>
      </c>
      <c r="B18" s="24">
        <v>3894205</v>
      </c>
      <c r="C18" s="24">
        <v>3478957</v>
      </c>
      <c r="D18" s="24">
        <v>4162304</v>
      </c>
      <c r="E18" s="24">
        <v>4025600</v>
      </c>
      <c r="F18" s="24">
        <v>4603723</v>
      </c>
      <c r="G18" s="24">
        <v>4607175</v>
      </c>
      <c r="H18" s="24">
        <v>4509694</v>
      </c>
      <c r="I18" s="24">
        <v>4386180</v>
      </c>
      <c r="J18" s="24">
        <v>4640174</v>
      </c>
      <c r="K18" s="24">
        <v>5281300</v>
      </c>
      <c r="L18" s="24">
        <v>4954378</v>
      </c>
      <c r="M18" s="24">
        <v>5022680</v>
      </c>
      <c r="N18" s="24">
        <v>5751689</v>
      </c>
      <c r="O18" s="24">
        <v>5977071</v>
      </c>
      <c r="P18" s="24">
        <v>6690297</v>
      </c>
      <c r="Q18" s="24">
        <v>6533524</v>
      </c>
      <c r="R18" s="24">
        <v>6366947</v>
      </c>
      <c r="S18" s="24">
        <v>7293950</v>
      </c>
      <c r="T18" s="24">
        <v>2359236</v>
      </c>
      <c r="U18" s="24">
        <v>3371048</v>
      </c>
      <c r="V18" s="24">
        <v>5495698</v>
      </c>
      <c r="W18" s="24">
        <v>6768078</v>
      </c>
      <c r="X18" s="24">
        <v>7299718</v>
      </c>
    </row>
    <row r="19" spans="1:24" x14ac:dyDescent="0.2">
      <c r="A19" s="7" t="s">
        <v>3</v>
      </c>
      <c r="B19" s="24">
        <v>2280169</v>
      </c>
      <c r="C19" s="24">
        <v>2790571</v>
      </c>
      <c r="D19" s="24">
        <v>2645672</v>
      </c>
      <c r="E19" s="24">
        <v>2407230</v>
      </c>
      <c r="F19" s="24">
        <v>3520218</v>
      </c>
      <c r="G19" s="24">
        <v>3521105</v>
      </c>
      <c r="H19" s="24">
        <v>3207684</v>
      </c>
      <c r="I19" s="24">
        <v>3373122</v>
      </c>
      <c r="J19" s="24">
        <v>3840863</v>
      </c>
      <c r="K19" s="24">
        <v>4225158</v>
      </c>
      <c r="L19" s="24">
        <v>3417506</v>
      </c>
      <c r="M19" s="24">
        <v>3727480</v>
      </c>
      <c r="N19" s="24">
        <v>4261603</v>
      </c>
      <c r="O19" s="24">
        <v>4404956</v>
      </c>
      <c r="P19" s="24">
        <v>4171984</v>
      </c>
      <c r="Q19" s="24">
        <v>4327744</v>
      </c>
      <c r="R19" s="24">
        <v>4419057</v>
      </c>
      <c r="S19" s="24">
        <v>4997271</v>
      </c>
      <c r="T19" s="24">
        <v>1704930</v>
      </c>
      <c r="U19" s="24">
        <v>2429500</v>
      </c>
      <c r="V19" s="24">
        <v>3982616</v>
      </c>
      <c r="W19" s="24">
        <v>4848807</v>
      </c>
      <c r="X19" s="24">
        <v>5346967</v>
      </c>
    </row>
    <row r="20" spans="1:24" x14ac:dyDescent="0.2">
      <c r="A20" s="7" t="s">
        <v>4</v>
      </c>
      <c r="B20" s="24">
        <v>3876968</v>
      </c>
      <c r="C20" s="24">
        <v>3712549</v>
      </c>
      <c r="D20" s="24">
        <v>4184658</v>
      </c>
      <c r="E20" s="24">
        <v>3939065</v>
      </c>
      <c r="F20" s="24">
        <v>4339200</v>
      </c>
      <c r="G20" s="24">
        <v>4056569</v>
      </c>
      <c r="H20" s="24">
        <v>4250330</v>
      </c>
      <c r="I20" s="24">
        <v>4387837</v>
      </c>
      <c r="J20" s="24">
        <v>4815198</v>
      </c>
      <c r="K20" s="24">
        <v>4888280</v>
      </c>
      <c r="L20" s="24">
        <v>4181295</v>
      </c>
      <c r="M20" s="24">
        <v>4174672</v>
      </c>
      <c r="N20" s="24">
        <v>4219122</v>
      </c>
      <c r="O20" s="24">
        <v>3822043</v>
      </c>
      <c r="P20" s="24">
        <v>4286199</v>
      </c>
      <c r="Q20" s="24">
        <v>4320114</v>
      </c>
      <c r="R20" s="24">
        <v>4382369</v>
      </c>
      <c r="S20" s="24">
        <v>4909646</v>
      </c>
      <c r="T20" s="24">
        <v>1558650</v>
      </c>
      <c r="U20" s="24">
        <v>2017794</v>
      </c>
      <c r="V20" s="24">
        <v>3420920</v>
      </c>
      <c r="W20" s="24">
        <v>4236172</v>
      </c>
      <c r="X20" s="24">
        <v>4168759</v>
      </c>
    </row>
    <row r="21" spans="1:24" s="48" customFormat="1" x14ac:dyDescent="0.2">
      <c r="A21" s="49" t="s">
        <v>0</v>
      </c>
      <c r="B21" s="72">
        <v>48950854.887318224</v>
      </c>
      <c r="C21" s="72">
        <v>45522607.495880216</v>
      </c>
      <c r="D21" s="72">
        <v>53308880.690966085</v>
      </c>
      <c r="E21" s="72">
        <v>48223809.849614486</v>
      </c>
      <c r="F21" s="72">
        <v>54588985.565612711</v>
      </c>
      <c r="G21" s="72">
        <v>53397769.561794668</v>
      </c>
      <c r="H21" s="72">
        <v>53397448.605831556</v>
      </c>
      <c r="I21" s="72">
        <v>53835477.480586454</v>
      </c>
      <c r="J21" s="72">
        <v>56895925.171745926</v>
      </c>
      <c r="K21" s="72">
        <v>62094221.036809146</v>
      </c>
      <c r="L21" s="72">
        <v>56572211.587493584</v>
      </c>
      <c r="M21" s="72">
        <v>55121432.822542444</v>
      </c>
      <c r="N21" s="72">
        <v>62999852.764705412</v>
      </c>
      <c r="O21" s="72">
        <v>62905647.805456817</v>
      </c>
      <c r="P21" s="72">
        <v>67155940.275914609</v>
      </c>
      <c r="Q21" s="72">
        <v>68554990.730074748</v>
      </c>
      <c r="R21" s="72">
        <v>65816997.204066209</v>
      </c>
      <c r="S21" s="72">
        <v>71966526.434819281</v>
      </c>
      <c r="T21" s="72">
        <v>24869448.378418934</v>
      </c>
      <c r="U21" s="72">
        <v>35354823.178471491</v>
      </c>
      <c r="V21" s="72">
        <v>56782183.05336532</v>
      </c>
      <c r="W21" s="72">
        <v>69810690.176083624</v>
      </c>
      <c r="X21" s="72">
        <v>70758125.760776222</v>
      </c>
    </row>
    <row r="23" spans="1:24" x14ac:dyDescent="0.2">
      <c r="W23" s="82"/>
      <c r="X23" s="82"/>
    </row>
  </sheetData>
  <hyperlinks>
    <hyperlink ref="A2" location="Sommaire!A1" display="Retour au menu &quot;Exploitation des films&quot;" xr:uid="{00000000-0004-0000-1100-000000000000}"/>
  </hyperlinks>
  <pageMargins left="0.78740157499999996" right="0.78740157499999996" top="0.984251969" bottom="0.984251969" header="0.4921259845" footer="0.492125984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23"/>
  <sheetViews>
    <sheetView workbookViewId="0"/>
  </sheetViews>
  <sheetFormatPr baseColWidth="10" defaultColWidth="5.5703125" defaultRowHeight="12" x14ac:dyDescent="0.2"/>
  <cols>
    <col min="1" max="1" width="60.7109375" style="46" bestFit="1" customWidth="1"/>
    <col min="2" max="4" width="6.42578125" style="46" bestFit="1" customWidth="1"/>
    <col min="5" max="18" width="6.42578125" style="47" bestFit="1" customWidth="1"/>
    <col min="19" max="22" width="6.42578125" style="46" bestFit="1" customWidth="1"/>
    <col min="23" max="24" width="6.42578125" style="46" customWidth="1"/>
    <col min="25"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50</v>
      </c>
      <c r="B5" s="45"/>
      <c r="C5" s="45"/>
    </row>
    <row r="6" spans="1:24" ht="3" customHeight="1" x14ac:dyDescent="0.2"/>
    <row r="7" spans="1:24" s="48" customFormat="1" x14ac:dyDescent="0.2">
      <c r="A7" s="11"/>
      <c r="B7" s="12">
        <v>2002</v>
      </c>
      <c r="C7" s="12">
        <v>2003</v>
      </c>
      <c r="D7" s="12">
        <v>2004</v>
      </c>
      <c r="E7" s="12">
        <v>2005</v>
      </c>
      <c r="F7" s="12">
        <v>2006</v>
      </c>
      <c r="G7" s="12">
        <v>2007</v>
      </c>
      <c r="H7" s="12">
        <v>2008</v>
      </c>
      <c r="I7" s="12">
        <v>2009</v>
      </c>
      <c r="J7" s="12">
        <v>2010</v>
      </c>
      <c r="K7" s="12">
        <v>2011</v>
      </c>
      <c r="L7" s="12">
        <v>2012</v>
      </c>
      <c r="M7" s="12">
        <v>2013</v>
      </c>
      <c r="N7" s="12">
        <v>2014</v>
      </c>
      <c r="O7" s="12">
        <v>2015</v>
      </c>
      <c r="P7" s="12">
        <v>2016</v>
      </c>
      <c r="Q7" s="12">
        <v>2017</v>
      </c>
      <c r="R7" s="12">
        <v>2018</v>
      </c>
      <c r="S7" s="12">
        <v>2019</v>
      </c>
      <c r="T7" s="12">
        <v>2020</v>
      </c>
      <c r="U7" s="12">
        <v>2021</v>
      </c>
      <c r="V7" s="12">
        <v>2022</v>
      </c>
      <c r="W7" s="12">
        <v>2023</v>
      </c>
      <c r="X7" s="12">
        <v>2024</v>
      </c>
    </row>
    <row r="8" spans="1:24" x14ac:dyDescent="0.2">
      <c r="A8" s="7" t="s">
        <v>72</v>
      </c>
      <c r="B8" s="24">
        <v>30500300</v>
      </c>
      <c r="C8" s="24">
        <v>29114928</v>
      </c>
      <c r="D8" s="24">
        <v>38250058</v>
      </c>
      <c r="E8" s="24">
        <v>32208680</v>
      </c>
      <c r="F8" s="24">
        <v>37582187</v>
      </c>
      <c r="G8" s="24">
        <v>35741167</v>
      </c>
      <c r="H8" s="24">
        <v>32816361</v>
      </c>
      <c r="I8" s="24">
        <v>36490896</v>
      </c>
      <c r="J8" s="24">
        <v>36117824</v>
      </c>
      <c r="K8" s="24">
        <v>39298156</v>
      </c>
      <c r="L8" s="24">
        <v>32854200</v>
      </c>
      <c r="M8" s="24">
        <v>34341847</v>
      </c>
      <c r="N8" s="24">
        <v>41686367</v>
      </c>
      <c r="O8" s="24">
        <v>44814218</v>
      </c>
      <c r="P8" s="24">
        <v>42998034</v>
      </c>
      <c r="Q8" s="24">
        <v>47717530</v>
      </c>
      <c r="R8" s="24">
        <v>51207988</v>
      </c>
      <c r="S8" s="24">
        <v>60766429</v>
      </c>
      <c r="T8" s="24">
        <v>19751168</v>
      </c>
      <c r="U8" s="24">
        <v>27713801</v>
      </c>
      <c r="V8" s="24">
        <v>45445077</v>
      </c>
      <c r="W8" s="24">
        <v>57922442</v>
      </c>
      <c r="X8" s="24">
        <v>62838242</v>
      </c>
    </row>
    <row r="9" spans="1:24" x14ac:dyDescent="0.2">
      <c r="A9" s="7" t="s">
        <v>73</v>
      </c>
      <c r="B9" s="24">
        <v>14287267</v>
      </c>
      <c r="C9" s="24">
        <v>13000617</v>
      </c>
      <c r="D9" s="24">
        <v>16470379</v>
      </c>
      <c r="E9" s="24">
        <v>15035364</v>
      </c>
      <c r="F9" s="24">
        <v>16109383</v>
      </c>
      <c r="G9" s="24">
        <v>17623305</v>
      </c>
      <c r="H9" s="24">
        <v>19654378</v>
      </c>
      <c r="I9" s="24">
        <v>19134744</v>
      </c>
      <c r="J9" s="24">
        <v>21339038</v>
      </c>
      <c r="K9" s="24">
        <v>22810138</v>
      </c>
      <c r="L9" s="24">
        <v>19009272</v>
      </c>
      <c r="M9" s="24">
        <v>17990040</v>
      </c>
      <c r="N9" s="24">
        <v>24171636</v>
      </c>
      <c r="O9" s="24">
        <v>24986707</v>
      </c>
      <c r="P9" s="24">
        <v>23760867</v>
      </c>
      <c r="Q9" s="24">
        <v>24229574</v>
      </c>
      <c r="R9" s="24">
        <v>21463357</v>
      </c>
      <c r="S9" s="24">
        <v>23188810</v>
      </c>
      <c r="T9" s="24">
        <v>8082866</v>
      </c>
      <c r="U9" s="24">
        <v>12050489</v>
      </c>
      <c r="V9" s="24">
        <v>19288695</v>
      </c>
      <c r="W9" s="24">
        <v>26883965</v>
      </c>
      <c r="X9" s="24">
        <v>28016280</v>
      </c>
    </row>
    <row r="10" spans="1:24" x14ac:dyDescent="0.2">
      <c r="A10" s="7" t="s">
        <v>1</v>
      </c>
      <c r="B10" s="24">
        <v>16895822</v>
      </c>
      <c r="C10" s="24">
        <v>15982270</v>
      </c>
      <c r="D10" s="24">
        <v>18968879</v>
      </c>
      <c r="E10" s="24">
        <v>14883106</v>
      </c>
      <c r="F10" s="24">
        <v>16291410</v>
      </c>
      <c r="G10" s="24">
        <v>16733890</v>
      </c>
      <c r="H10" s="24">
        <v>18358176</v>
      </c>
      <c r="I10" s="24">
        <v>20114247</v>
      </c>
      <c r="J10" s="24">
        <v>21132413</v>
      </c>
      <c r="K10" s="24">
        <v>22831931</v>
      </c>
      <c r="L10" s="24">
        <v>21295380</v>
      </c>
      <c r="M10" s="24">
        <v>19632454</v>
      </c>
      <c r="N10" s="24">
        <v>21991514</v>
      </c>
      <c r="O10" s="24">
        <v>22626082</v>
      </c>
      <c r="P10" s="24">
        <v>27592428</v>
      </c>
      <c r="Q10" s="24">
        <v>27491996</v>
      </c>
      <c r="R10" s="24">
        <v>26619661</v>
      </c>
      <c r="S10" s="24">
        <v>28871188</v>
      </c>
      <c r="T10" s="24">
        <v>9189154</v>
      </c>
      <c r="U10" s="24">
        <v>14291125</v>
      </c>
      <c r="V10" s="24">
        <v>22612236</v>
      </c>
      <c r="W10" s="24">
        <v>29744772</v>
      </c>
      <c r="X10" s="24">
        <v>26734540</v>
      </c>
    </row>
    <row r="11" spans="1:24" x14ac:dyDescent="0.2">
      <c r="A11" s="7" t="s">
        <v>74</v>
      </c>
      <c r="B11" s="24">
        <v>6603401</v>
      </c>
      <c r="C11" s="24">
        <v>5334924</v>
      </c>
      <c r="D11" s="24">
        <v>6146881</v>
      </c>
      <c r="E11" s="24">
        <v>6382676</v>
      </c>
      <c r="F11" s="24">
        <v>8253410</v>
      </c>
      <c r="G11" s="24">
        <v>8562216</v>
      </c>
      <c r="H11" s="24">
        <v>9348238</v>
      </c>
      <c r="I11" s="24">
        <v>11018387</v>
      </c>
      <c r="J11" s="24">
        <v>15167136</v>
      </c>
      <c r="K11" s="24">
        <v>18175527</v>
      </c>
      <c r="L11" s="24">
        <v>17192514</v>
      </c>
      <c r="M11" s="24">
        <v>15798619</v>
      </c>
      <c r="N11" s="24">
        <v>17640133</v>
      </c>
      <c r="O11" s="24">
        <v>18278325</v>
      </c>
      <c r="P11" s="24">
        <v>19505194</v>
      </c>
      <c r="Q11" s="24">
        <v>19717733</v>
      </c>
      <c r="R11" s="24">
        <v>17810228</v>
      </c>
      <c r="S11" s="24">
        <v>17092139</v>
      </c>
      <c r="T11" s="24">
        <v>6160807</v>
      </c>
      <c r="U11" s="24">
        <v>9038078</v>
      </c>
      <c r="V11" s="24">
        <v>14240941</v>
      </c>
      <c r="W11" s="24">
        <v>17298896</v>
      </c>
      <c r="X11" s="24">
        <v>18173265</v>
      </c>
    </row>
    <row r="12" spans="1:24" x14ac:dyDescent="0.2">
      <c r="A12" s="7" t="s">
        <v>5</v>
      </c>
      <c r="B12" s="24">
        <v>1067385</v>
      </c>
      <c r="C12" s="24">
        <v>958536</v>
      </c>
      <c r="D12" s="24">
        <v>1244035</v>
      </c>
      <c r="E12" s="24">
        <v>910255</v>
      </c>
      <c r="F12" s="24">
        <v>947726</v>
      </c>
      <c r="G12" s="24">
        <v>901088</v>
      </c>
      <c r="H12" s="24">
        <v>377977</v>
      </c>
      <c r="I12" s="24">
        <v>352889</v>
      </c>
      <c r="J12" s="24">
        <v>484918</v>
      </c>
      <c r="K12" s="24">
        <v>659260</v>
      </c>
      <c r="L12" s="24">
        <v>689589</v>
      </c>
      <c r="M12" s="24">
        <v>655252</v>
      </c>
      <c r="N12" s="24">
        <v>692289</v>
      </c>
      <c r="O12" s="24">
        <v>685235</v>
      </c>
      <c r="P12" s="24">
        <v>588450</v>
      </c>
      <c r="Q12" s="24">
        <v>3046725</v>
      </c>
      <c r="R12" s="24">
        <v>2768394</v>
      </c>
      <c r="S12" s="24">
        <v>2766338</v>
      </c>
      <c r="T12" s="24">
        <v>693676</v>
      </c>
      <c r="U12" s="24">
        <v>1884234</v>
      </c>
      <c r="V12" s="24">
        <v>2603068</v>
      </c>
      <c r="W12" s="24">
        <v>3435743</v>
      </c>
      <c r="X12" s="24">
        <v>4229852</v>
      </c>
    </row>
    <row r="13" spans="1:24" x14ac:dyDescent="0.2">
      <c r="A13" s="7" t="s">
        <v>77</v>
      </c>
      <c r="B13" s="24">
        <v>17543263</v>
      </c>
      <c r="C13" s="24">
        <v>16630897</v>
      </c>
      <c r="D13" s="24">
        <v>21783308</v>
      </c>
      <c r="E13" s="24">
        <v>19014462</v>
      </c>
      <c r="F13" s="24">
        <v>21996217</v>
      </c>
      <c r="G13" s="24">
        <v>19199567</v>
      </c>
      <c r="H13" s="24">
        <v>21462129</v>
      </c>
      <c r="I13" s="24">
        <v>22606887</v>
      </c>
      <c r="J13" s="24">
        <v>23195584</v>
      </c>
      <c r="K13" s="24">
        <v>23325739</v>
      </c>
      <c r="L13" s="24">
        <v>24451973</v>
      </c>
      <c r="M13" s="24">
        <v>22574633</v>
      </c>
      <c r="N13" s="24">
        <v>26470924</v>
      </c>
      <c r="O13" s="24">
        <v>31094278</v>
      </c>
      <c r="P13" s="24">
        <v>33293308</v>
      </c>
      <c r="Q13" s="24">
        <v>33509704</v>
      </c>
      <c r="R13" s="24">
        <v>30279203</v>
      </c>
      <c r="S13" s="24">
        <v>32573578</v>
      </c>
      <c r="T13" s="24">
        <v>12112016</v>
      </c>
      <c r="U13" s="24">
        <v>17667564</v>
      </c>
      <c r="V13" s="24">
        <v>24705923</v>
      </c>
      <c r="W13" s="24">
        <v>32160366</v>
      </c>
      <c r="X13" s="24">
        <v>30328721</v>
      </c>
    </row>
    <row r="14" spans="1:24" x14ac:dyDescent="0.2">
      <c r="A14" s="7" t="s">
        <v>78</v>
      </c>
      <c r="B14" s="24">
        <v>16068299</v>
      </c>
      <c r="C14" s="24">
        <v>14304618</v>
      </c>
      <c r="D14" s="24">
        <v>16775278</v>
      </c>
      <c r="E14" s="24">
        <v>14389233</v>
      </c>
      <c r="F14" s="24">
        <v>18082448</v>
      </c>
      <c r="G14" s="24">
        <v>20247916</v>
      </c>
      <c r="H14" s="24">
        <v>21824609</v>
      </c>
      <c r="I14" s="24">
        <v>20209749</v>
      </c>
      <c r="J14" s="24">
        <v>24259682</v>
      </c>
      <c r="K14" s="24">
        <v>26715632</v>
      </c>
      <c r="L14" s="24">
        <v>25092669</v>
      </c>
      <c r="M14" s="24">
        <v>21111149</v>
      </c>
      <c r="N14" s="24">
        <v>27025228</v>
      </c>
      <c r="O14" s="24">
        <v>30193870</v>
      </c>
      <c r="P14" s="24">
        <v>33108584</v>
      </c>
      <c r="Q14" s="24">
        <v>33764752</v>
      </c>
      <c r="R14" s="24">
        <v>30072997</v>
      </c>
      <c r="S14" s="24">
        <v>25859420</v>
      </c>
      <c r="T14" s="24">
        <v>9023704</v>
      </c>
      <c r="U14" s="24">
        <v>14439442</v>
      </c>
      <c r="V14" s="24">
        <v>22708030</v>
      </c>
      <c r="W14" s="24">
        <v>28971226</v>
      </c>
      <c r="X14" s="24">
        <v>25925901</v>
      </c>
    </row>
    <row r="15" spans="1:24" x14ac:dyDescent="0.2">
      <c r="A15" s="7" t="s">
        <v>2</v>
      </c>
      <c r="B15" s="24">
        <v>58932382.608892046</v>
      </c>
      <c r="C15" s="24">
        <v>51552840.177816212</v>
      </c>
      <c r="D15" s="24">
        <v>57389614.152170703</v>
      </c>
      <c r="E15" s="24">
        <v>54249559.018328294</v>
      </c>
      <c r="F15" s="24">
        <v>57818940.059895992</v>
      </c>
      <c r="G15" s="24">
        <v>53752858.272636726</v>
      </c>
      <c r="H15" s="24">
        <v>52952293.207654312</v>
      </c>
      <c r="I15" s="24">
        <v>52982088.983698353</v>
      </c>
      <c r="J15" s="24">
        <v>53775802.065453798</v>
      </c>
      <c r="K15" s="24">
        <v>60696190.408845745</v>
      </c>
      <c r="L15" s="24">
        <v>56853512.206880629</v>
      </c>
      <c r="M15" s="24">
        <v>55879524.764031783</v>
      </c>
      <c r="N15" s="24">
        <v>57555941.080526009</v>
      </c>
      <c r="O15" s="24">
        <v>49799202.476883993</v>
      </c>
      <c r="P15" s="24">
        <v>53470756.785793036</v>
      </c>
      <c r="Q15" s="24">
        <v>52407345.740998834</v>
      </c>
      <c r="R15" s="24">
        <v>49052743.971632265</v>
      </c>
      <c r="S15" s="24">
        <v>62881910.437183753</v>
      </c>
      <c r="T15" s="24">
        <v>23098665.442595959</v>
      </c>
      <c r="U15" s="24">
        <v>30268746.954216965</v>
      </c>
      <c r="V15" s="24">
        <v>49989506.624136038</v>
      </c>
      <c r="W15" s="24">
        <v>60478031.240516156</v>
      </c>
      <c r="X15" s="24">
        <v>61706260.404962659</v>
      </c>
    </row>
    <row r="16" spans="1:24" x14ac:dyDescent="0.2">
      <c r="A16" s="7" t="s">
        <v>75</v>
      </c>
      <c r="B16" s="24">
        <v>9710908</v>
      </c>
      <c r="C16" s="24">
        <v>13288036</v>
      </c>
      <c r="D16" s="24">
        <v>15914606</v>
      </c>
      <c r="E16" s="24">
        <v>14509833</v>
      </c>
      <c r="F16" s="24">
        <v>17367967</v>
      </c>
      <c r="G16" s="24">
        <v>15755894</v>
      </c>
      <c r="H16" s="24">
        <v>16250578</v>
      </c>
      <c r="I16" s="24">
        <v>16621082</v>
      </c>
      <c r="J16" s="24">
        <v>17543955</v>
      </c>
      <c r="K16" s="24">
        <v>20286788</v>
      </c>
      <c r="L16" s="24">
        <v>19230636</v>
      </c>
      <c r="M16" s="24">
        <v>17079263</v>
      </c>
      <c r="N16" s="24">
        <v>19014042</v>
      </c>
      <c r="O16" s="24">
        <v>18340391</v>
      </c>
      <c r="P16" s="24">
        <v>19454662</v>
      </c>
      <c r="Q16" s="24">
        <v>20419446</v>
      </c>
      <c r="R16" s="24">
        <v>19462410</v>
      </c>
      <c r="S16" s="24">
        <v>19101465</v>
      </c>
      <c r="T16" s="24">
        <v>7495605</v>
      </c>
      <c r="U16" s="24">
        <v>11594503</v>
      </c>
      <c r="V16" s="24">
        <v>17853685</v>
      </c>
      <c r="W16" s="24">
        <v>23964016</v>
      </c>
      <c r="X16" s="24">
        <v>27039170</v>
      </c>
    </row>
    <row r="17" spans="1:24" x14ac:dyDescent="0.2">
      <c r="A17" s="7" t="s">
        <v>79</v>
      </c>
      <c r="B17" s="24">
        <v>23620023</v>
      </c>
      <c r="C17" s="24">
        <v>19240089</v>
      </c>
      <c r="D17" s="24">
        <v>23878756</v>
      </c>
      <c r="E17" s="24">
        <v>23407454</v>
      </c>
      <c r="F17" s="24">
        <v>25726458</v>
      </c>
      <c r="G17" s="24">
        <v>28585920</v>
      </c>
      <c r="H17" s="24">
        <v>28932626</v>
      </c>
      <c r="I17" s="24">
        <v>28271847</v>
      </c>
      <c r="J17" s="24">
        <v>29930018</v>
      </c>
      <c r="K17" s="24">
        <v>34548186</v>
      </c>
      <c r="L17" s="24">
        <v>32403939</v>
      </c>
      <c r="M17" s="24">
        <v>31598274</v>
      </c>
      <c r="N17" s="24">
        <v>35001294</v>
      </c>
      <c r="O17" s="24">
        <v>35591414</v>
      </c>
      <c r="P17" s="24">
        <v>39468001</v>
      </c>
      <c r="Q17" s="24">
        <v>42801777</v>
      </c>
      <c r="R17" s="24">
        <v>39915977</v>
      </c>
      <c r="S17" s="24">
        <v>44635168</v>
      </c>
      <c r="T17" s="24">
        <v>14785949</v>
      </c>
      <c r="U17" s="24">
        <v>23881795</v>
      </c>
      <c r="V17" s="24">
        <v>38860705</v>
      </c>
      <c r="W17" s="24">
        <v>47819489</v>
      </c>
      <c r="X17" s="24">
        <v>47604270</v>
      </c>
    </row>
    <row r="18" spans="1:24" x14ac:dyDescent="0.2">
      <c r="A18" s="7" t="s">
        <v>80</v>
      </c>
      <c r="B18" s="24">
        <v>17864794</v>
      </c>
      <c r="C18" s="24">
        <v>15700912</v>
      </c>
      <c r="D18" s="24">
        <v>19305779</v>
      </c>
      <c r="E18" s="24">
        <v>18698492</v>
      </c>
      <c r="F18" s="24">
        <v>21998096</v>
      </c>
      <c r="G18" s="24">
        <v>22127115</v>
      </c>
      <c r="H18" s="24">
        <v>21968985</v>
      </c>
      <c r="I18" s="24">
        <v>21671047</v>
      </c>
      <c r="J18" s="24">
        <v>23671525</v>
      </c>
      <c r="K18" s="24">
        <v>27286072</v>
      </c>
      <c r="L18" s="24">
        <v>25735025</v>
      </c>
      <c r="M18" s="24">
        <v>26141983</v>
      </c>
      <c r="N18" s="24">
        <v>30229986</v>
      </c>
      <c r="O18" s="24">
        <v>31621381</v>
      </c>
      <c r="P18" s="24">
        <v>35942648</v>
      </c>
      <c r="Q18" s="24">
        <v>35159590</v>
      </c>
      <c r="R18" s="24">
        <v>34310014</v>
      </c>
      <c r="S18" s="24">
        <v>40417069</v>
      </c>
      <c r="T18" s="24">
        <v>12869451</v>
      </c>
      <c r="U18" s="24">
        <v>18814179</v>
      </c>
      <c r="V18" s="24">
        <v>30245517</v>
      </c>
      <c r="W18" s="24">
        <v>38575410</v>
      </c>
      <c r="X18" s="24">
        <v>42626572</v>
      </c>
    </row>
    <row r="19" spans="1:24" x14ac:dyDescent="0.2">
      <c r="A19" s="7" t="s">
        <v>3</v>
      </c>
      <c r="B19" s="24">
        <v>11046616</v>
      </c>
      <c r="C19" s="24">
        <v>14399194</v>
      </c>
      <c r="D19" s="24">
        <v>13227061</v>
      </c>
      <c r="E19" s="24">
        <v>12316830</v>
      </c>
      <c r="F19" s="24">
        <v>19134720</v>
      </c>
      <c r="G19" s="24">
        <v>19214735</v>
      </c>
      <c r="H19" s="24">
        <v>17628928</v>
      </c>
      <c r="I19" s="24">
        <v>19038827</v>
      </c>
      <c r="J19" s="24">
        <v>21878760</v>
      </c>
      <c r="K19" s="24">
        <v>24294554</v>
      </c>
      <c r="L19" s="24">
        <v>18841738</v>
      </c>
      <c r="M19" s="24">
        <v>20746581</v>
      </c>
      <c r="N19" s="24">
        <v>23476452</v>
      </c>
      <c r="O19" s="24">
        <v>24401814</v>
      </c>
      <c r="P19" s="24">
        <v>22670262</v>
      </c>
      <c r="Q19" s="24">
        <v>23751956</v>
      </c>
      <c r="R19" s="24">
        <v>24464244</v>
      </c>
      <c r="S19" s="24">
        <v>28084864</v>
      </c>
      <c r="T19" s="24">
        <v>9487610</v>
      </c>
      <c r="U19" s="24">
        <v>14118681</v>
      </c>
      <c r="V19" s="24">
        <v>23131051</v>
      </c>
      <c r="W19" s="24">
        <v>28932881</v>
      </c>
      <c r="X19" s="24">
        <v>32944435</v>
      </c>
    </row>
    <row r="20" spans="1:24" x14ac:dyDescent="0.2">
      <c r="A20" s="7" t="s">
        <v>4</v>
      </c>
      <c r="B20" s="24">
        <v>19531274</v>
      </c>
      <c r="C20" s="24">
        <v>18936952</v>
      </c>
      <c r="D20" s="24">
        <v>21372333</v>
      </c>
      <c r="E20" s="24">
        <v>20180212</v>
      </c>
      <c r="F20" s="24">
        <v>22419349</v>
      </c>
      <c r="G20" s="24">
        <v>21165688</v>
      </c>
      <c r="H20" s="24">
        <v>22467512</v>
      </c>
      <c r="I20" s="24">
        <v>23807033</v>
      </c>
      <c r="J20" s="24">
        <v>27375586</v>
      </c>
      <c r="K20" s="24">
        <v>28081242</v>
      </c>
      <c r="L20" s="24">
        <v>24225213</v>
      </c>
      <c r="M20" s="24">
        <v>24096360</v>
      </c>
      <c r="N20" s="24">
        <v>23973765</v>
      </c>
      <c r="O20" s="24">
        <v>21709739</v>
      </c>
      <c r="P20" s="24">
        <v>24481567</v>
      </c>
      <c r="Q20" s="24">
        <v>24768855</v>
      </c>
      <c r="R20" s="24">
        <v>25051075</v>
      </c>
      <c r="S20" s="24">
        <v>28596347</v>
      </c>
      <c r="T20" s="24">
        <v>9067772</v>
      </c>
      <c r="U20" s="24">
        <v>12012704</v>
      </c>
      <c r="V20" s="24">
        <v>19921393</v>
      </c>
      <c r="W20" s="24">
        <v>25909241</v>
      </c>
      <c r="X20" s="24">
        <v>25944546</v>
      </c>
    </row>
    <row r="21" spans="1:24" s="48" customFormat="1" x14ac:dyDescent="0.2">
      <c r="A21" s="49" t="s">
        <v>0</v>
      </c>
      <c r="B21" s="72">
        <v>243671734.60889205</v>
      </c>
      <c r="C21" s="72">
        <v>228444813.17781621</v>
      </c>
      <c r="D21" s="72">
        <v>270726967.15217072</v>
      </c>
      <c r="E21" s="72">
        <v>246186156.01832831</v>
      </c>
      <c r="F21" s="72">
        <v>283728311.05989599</v>
      </c>
      <c r="G21" s="72">
        <v>279611359.27263671</v>
      </c>
      <c r="H21" s="72">
        <v>284042790.2076543</v>
      </c>
      <c r="I21" s="72">
        <v>292319723.98369837</v>
      </c>
      <c r="J21" s="72">
        <v>315872241.06545377</v>
      </c>
      <c r="K21" s="72">
        <v>349009415.40884578</v>
      </c>
      <c r="L21" s="72">
        <v>317875660.20688063</v>
      </c>
      <c r="M21" s="72">
        <v>307645979.76403177</v>
      </c>
      <c r="N21" s="72">
        <v>348929571.08052599</v>
      </c>
      <c r="O21" s="72">
        <v>354142656.47688401</v>
      </c>
      <c r="P21" s="72">
        <v>376334761.78579307</v>
      </c>
      <c r="Q21" s="72">
        <v>388786983.74099886</v>
      </c>
      <c r="R21" s="72">
        <v>372478291.97163224</v>
      </c>
      <c r="S21" s="72">
        <v>414834725.43718374</v>
      </c>
      <c r="T21" s="72">
        <v>141818443.44259596</v>
      </c>
      <c r="U21" s="72">
        <v>207775341.95421696</v>
      </c>
      <c r="V21" s="72">
        <v>331605827.62413603</v>
      </c>
      <c r="W21" s="72">
        <v>422096478.24051619</v>
      </c>
      <c r="X21" s="72">
        <v>434112054.40496266</v>
      </c>
    </row>
    <row r="23" spans="1:24" x14ac:dyDescent="0.2">
      <c r="W23" s="82"/>
      <c r="X23" s="82"/>
    </row>
  </sheetData>
  <hyperlinks>
    <hyperlink ref="A2" location="Sommaire!A1" display="Retour au menu &quot;Exploitation des films&quot;" xr:uid="{00000000-0004-0000-1200-000000000000}"/>
  </hyperlinks>
  <pageMargins left="0.78740157499999996" right="0.78740157499999996" top="0.984251969" bottom="0.984251969" header="0.4921259845" footer="0.492125984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1"/>
  <sheetViews>
    <sheetView workbookViewId="0"/>
  </sheetViews>
  <sheetFormatPr baseColWidth="10" defaultColWidth="5.5703125" defaultRowHeight="12" x14ac:dyDescent="0.2"/>
  <cols>
    <col min="1" max="1" width="32.42578125" style="46" customWidth="1"/>
    <col min="2" max="4" width="5" style="46" bestFit="1" customWidth="1"/>
    <col min="5" max="18" width="5" style="47" bestFit="1" customWidth="1"/>
    <col min="19" max="19" width="5" style="46" bestFit="1" customWidth="1"/>
    <col min="20"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49</v>
      </c>
      <c r="B5" s="45"/>
      <c r="C5" s="45"/>
    </row>
    <row r="6" spans="1:24" ht="3" customHeight="1" x14ac:dyDescent="0.2"/>
    <row r="7" spans="1:24" s="48" customFormat="1" x14ac:dyDescent="0.2">
      <c r="A7" s="5"/>
      <c r="B7" s="12">
        <v>2002</v>
      </c>
      <c r="C7" s="12">
        <v>2003</v>
      </c>
      <c r="D7" s="12">
        <v>2004</v>
      </c>
      <c r="E7" s="12">
        <v>2005</v>
      </c>
      <c r="F7" s="12">
        <v>2006</v>
      </c>
      <c r="G7" s="12">
        <v>2007</v>
      </c>
      <c r="H7" s="12">
        <v>2008</v>
      </c>
      <c r="I7" s="12">
        <v>2009</v>
      </c>
      <c r="J7" s="12">
        <v>2010</v>
      </c>
      <c r="K7" s="12">
        <v>2011</v>
      </c>
      <c r="L7" s="12">
        <v>2012</v>
      </c>
      <c r="M7" s="12">
        <v>2013</v>
      </c>
      <c r="N7" s="12">
        <v>2014</v>
      </c>
      <c r="O7" s="12">
        <v>2015</v>
      </c>
      <c r="P7" s="12">
        <v>2016</v>
      </c>
      <c r="Q7" s="12">
        <v>2017</v>
      </c>
      <c r="R7" s="12">
        <v>2018</v>
      </c>
      <c r="S7" s="12">
        <v>2019</v>
      </c>
      <c r="T7" s="12">
        <v>2020</v>
      </c>
      <c r="U7" s="12">
        <v>2021</v>
      </c>
      <c r="V7" s="12">
        <v>2022</v>
      </c>
      <c r="W7" s="12">
        <v>2023</v>
      </c>
      <c r="X7" s="12">
        <v>2024</v>
      </c>
    </row>
    <row r="8" spans="1:24" x14ac:dyDescent="0.2">
      <c r="A8" s="7" t="s">
        <v>72</v>
      </c>
      <c r="B8" s="73">
        <v>4.9098835950490187</v>
      </c>
      <c r="C8" s="73">
        <v>4.9466718067553206</v>
      </c>
      <c r="D8" s="73">
        <v>5.0951347464618175</v>
      </c>
      <c r="E8" s="73">
        <v>5.096502858256823</v>
      </c>
      <c r="F8" s="73">
        <v>5.1841339144706309</v>
      </c>
      <c r="G8" s="73">
        <v>5.2405281353214432</v>
      </c>
      <c r="H8" s="73">
        <v>5.1986034451458005</v>
      </c>
      <c r="I8" s="73">
        <v>5.3425636824103231</v>
      </c>
      <c r="J8" s="73">
        <v>5.4059057540592761</v>
      </c>
      <c r="K8" s="73">
        <v>5.4807194444270113</v>
      </c>
      <c r="L8" s="73">
        <v>5.4193692693578708</v>
      </c>
      <c r="M8" s="73">
        <v>5.4507545889266433</v>
      </c>
      <c r="N8" s="73">
        <v>5.4637031827370208</v>
      </c>
      <c r="O8" s="73">
        <v>5.5668639667743784</v>
      </c>
      <c r="P8" s="73">
        <v>5.452119830393281</v>
      </c>
      <c r="Q8" s="73">
        <v>5.5999273802507608</v>
      </c>
      <c r="R8" s="73">
        <v>5.6268606400082986</v>
      </c>
      <c r="S8" s="73">
        <v>5.7777934663074086</v>
      </c>
      <c r="T8" s="73">
        <v>5.7312673360584503</v>
      </c>
      <c r="U8" s="73">
        <v>5.8244724594460262</v>
      </c>
      <c r="V8" s="73">
        <v>5.8206980829705195</v>
      </c>
      <c r="W8" s="73">
        <v>6.0525669189542999</v>
      </c>
      <c r="X8" s="73">
        <v>6.1652268143850817</v>
      </c>
    </row>
    <row r="9" spans="1:24" x14ac:dyDescent="0.2">
      <c r="A9" s="7" t="s">
        <v>73</v>
      </c>
      <c r="B9" s="73">
        <v>5.1102241918292304</v>
      </c>
      <c r="C9" s="73">
        <v>5.2043957442873463</v>
      </c>
      <c r="D9" s="73">
        <v>5.3551915713110096</v>
      </c>
      <c r="E9" s="73">
        <v>5.4256845362893182</v>
      </c>
      <c r="F9" s="73">
        <v>5.4910513908469429</v>
      </c>
      <c r="G9" s="73">
        <v>5.4379523191510239</v>
      </c>
      <c r="H9" s="73">
        <v>5.5530253715318985</v>
      </c>
      <c r="I9" s="73">
        <v>5.6113042828006163</v>
      </c>
      <c r="J9" s="73">
        <v>5.7962197382402598</v>
      </c>
      <c r="K9" s="73">
        <v>5.782946369264625</v>
      </c>
      <c r="L9" s="73">
        <v>5.8476555109880763</v>
      </c>
      <c r="M9" s="73">
        <v>5.850845720143516</v>
      </c>
      <c r="N9" s="73">
        <v>5.917579112579892</v>
      </c>
      <c r="O9" s="73">
        <v>6.0582470907368133</v>
      </c>
      <c r="P9" s="73">
        <v>5.9719096746433324</v>
      </c>
      <c r="Q9" s="73">
        <v>6.0221339059804846</v>
      </c>
      <c r="R9" s="73">
        <v>5.9856753900887032</v>
      </c>
      <c r="S9" s="73">
        <v>6.0964257442740211</v>
      </c>
      <c r="T9" s="73">
        <v>6.0158052403794269</v>
      </c>
      <c r="U9" s="73">
        <v>6.309007902955166</v>
      </c>
      <c r="V9" s="73">
        <v>6.3737964060459005</v>
      </c>
      <c r="W9" s="73">
        <v>6.6418568466011703</v>
      </c>
      <c r="X9" s="73">
        <v>6.6787195180385126</v>
      </c>
    </row>
    <row r="10" spans="1:24" x14ac:dyDescent="0.2">
      <c r="A10" s="7" t="s">
        <v>1</v>
      </c>
      <c r="B10" s="73">
        <v>5.0285947792659949</v>
      </c>
      <c r="C10" s="73">
        <v>5.0387245703505297</v>
      </c>
      <c r="D10" s="73">
        <v>5.0656717565834262</v>
      </c>
      <c r="E10" s="73">
        <v>5.0177509725763638</v>
      </c>
      <c r="F10" s="73">
        <v>5.052803272221106</v>
      </c>
      <c r="G10" s="73">
        <v>5.138921304644775</v>
      </c>
      <c r="H10" s="73">
        <v>5.2599510626959072</v>
      </c>
      <c r="I10" s="73">
        <v>5.386501508357223</v>
      </c>
      <c r="J10" s="73">
        <v>5.4552237418923157</v>
      </c>
      <c r="K10" s="73">
        <v>5.5420576990341903</v>
      </c>
      <c r="L10" s="73">
        <v>5.5035581891071033</v>
      </c>
      <c r="M10" s="73">
        <v>5.3897111388082077</v>
      </c>
      <c r="N10" s="73">
        <v>5.2782061574832442</v>
      </c>
      <c r="O10" s="73">
        <v>5.3516187133313382</v>
      </c>
      <c r="P10" s="73">
        <v>5.5051828760981962</v>
      </c>
      <c r="Q10" s="73">
        <v>5.5459367514588047</v>
      </c>
      <c r="R10" s="73">
        <v>5.5729844151243766</v>
      </c>
      <c r="S10" s="73">
        <v>5.6675682970806456</v>
      </c>
      <c r="T10" s="73">
        <v>5.5918873048820634</v>
      </c>
      <c r="U10" s="73">
        <v>5.80989873521672</v>
      </c>
      <c r="V10" s="73">
        <v>5.7635167994616827</v>
      </c>
      <c r="W10" s="73">
        <v>5.9353576826206522</v>
      </c>
      <c r="X10" s="73">
        <v>5.9035384742441419</v>
      </c>
    </row>
    <row r="11" spans="1:24" x14ac:dyDescent="0.2">
      <c r="A11" s="7" t="s">
        <v>74</v>
      </c>
      <c r="B11" s="73">
        <v>4.7189531320569182</v>
      </c>
      <c r="C11" s="73">
        <v>4.6370643618056908</v>
      </c>
      <c r="D11" s="73">
        <v>4.6680232319719082</v>
      </c>
      <c r="E11" s="73">
        <v>4.7415110164196985</v>
      </c>
      <c r="F11" s="73">
        <v>4.9511805336427193</v>
      </c>
      <c r="G11" s="73">
        <v>5.0463311292781787</v>
      </c>
      <c r="H11" s="73">
        <v>5.1749392729583645</v>
      </c>
      <c r="I11" s="73">
        <v>5.6373098216620017</v>
      </c>
      <c r="J11" s="73">
        <v>5.8622954621439494</v>
      </c>
      <c r="K11" s="73">
        <v>5.9672008811830963</v>
      </c>
      <c r="L11" s="73">
        <v>6.0143588875307934</v>
      </c>
      <c r="M11" s="73">
        <v>5.9968551716389245</v>
      </c>
      <c r="N11" s="73">
        <v>5.8342570837401411</v>
      </c>
      <c r="O11" s="73">
        <v>6.0237190844162525</v>
      </c>
      <c r="P11" s="73">
        <v>6.0305783299560778</v>
      </c>
      <c r="Q11" s="73">
        <v>6.0541097608566625</v>
      </c>
      <c r="R11" s="73">
        <v>6.0492691550661553</v>
      </c>
      <c r="S11" s="73">
        <v>6.0462717142413442</v>
      </c>
      <c r="T11" s="73">
        <v>6.0052587869016731</v>
      </c>
      <c r="U11" s="73">
        <v>6.2528991533268483</v>
      </c>
      <c r="V11" s="73">
        <v>6.1070197354342834</v>
      </c>
      <c r="W11" s="73">
        <v>6.2780337540247304</v>
      </c>
      <c r="X11" s="73">
        <v>6.3930761036892365</v>
      </c>
    </row>
    <row r="12" spans="1:24" x14ac:dyDescent="0.2">
      <c r="A12" s="7" t="s">
        <v>5</v>
      </c>
      <c r="B12" s="73">
        <v>6.3038766374127402</v>
      </c>
      <c r="C12" s="73">
        <v>6.2534968684759917</v>
      </c>
      <c r="D12" s="73">
        <v>6.2044467275456716</v>
      </c>
      <c r="E12" s="73">
        <v>6.0941652997690223</v>
      </c>
      <c r="F12" s="73">
        <v>6.1405875416294107</v>
      </c>
      <c r="G12" s="73">
        <v>6.0707943138179612</v>
      </c>
      <c r="H12" s="73">
        <v>5.5805613382350767</v>
      </c>
      <c r="I12" s="73">
        <v>6.1925560664022745</v>
      </c>
      <c r="J12" s="73">
        <v>6.900193522681997</v>
      </c>
      <c r="K12" s="73">
        <v>6.7293401927159886</v>
      </c>
      <c r="L12" s="73">
        <v>6.5572724506485107</v>
      </c>
      <c r="M12" s="73">
        <v>6.5719071260217641</v>
      </c>
      <c r="N12" s="73">
        <v>6.4465541163433873</v>
      </c>
      <c r="O12" s="73">
        <v>6.6091338734567904</v>
      </c>
      <c r="P12" s="73">
        <v>6.4885159497634826</v>
      </c>
      <c r="Q12" s="73">
        <v>6.6962019195899716</v>
      </c>
      <c r="R12" s="73">
        <v>6.6037570220531228</v>
      </c>
      <c r="S12" s="73">
        <v>6.4580349055458548</v>
      </c>
      <c r="T12" s="73">
        <v>6.3378346276838737</v>
      </c>
      <c r="U12" s="73">
        <v>6.8699967185620006</v>
      </c>
      <c r="V12" s="73">
        <v>6.626212949669589</v>
      </c>
      <c r="W12" s="73">
        <v>6.740081373541436</v>
      </c>
      <c r="X12" s="73">
        <v>6.8357598705846803</v>
      </c>
    </row>
    <row r="13" spans="1:24" x14ac:dyDescent="0.2">
      <c r="A13" s="7" t="s">
        <v>77</v>
      </c>
      <c r="B13" s="73">
        <v>5.2358665359037833</v>
      </c>
      <c r="C13" s="73">
        <v>5.2567404656784653</v>
      </c>
      <c r="D13" s="73">
        <v>5.3948644133195769</v>
      </c>
      <c r="E13" s="73">
        <v>5.3902834379953868</v>
      </c>
      <c r="F13" s="73">
        <v>5.4673708360053492</v>
      </c>
      <c r="G13" s="73">
        <v>5.3917949072225282</v>
      </c>
      <c r="H13" s="73">
        <v>5.5748207779402383</v>
      </c>
      <c r="I13" s="73">
        <v>5.6586663482759212</v>
      </c>
      <c r="J13" s="73">
        <v>5.784698902718004</v>
      </c>
      <c r="K13" s="73">
        <v>5.7559696706406482</v>
      </c>
      <c r="L13" s="73">
        <v>5.8820860788872036</v>
      </c>
      <c r="M13" s="73">
        <v>5.8164549477000085</v>
      </c>
      <c r="N13" s="73">
        <v>5.7081968959447336</v>
      </c>
      <c r="O13" s="73">
        <v>5.8775320332461121</v>
      </c>
      <c r="P13" s="73">
        <v>5.9004993570175825</v>
      </c>
      <c r="Q13" s="73">
        <v>5.9351250212982718</v>
      </c>
      <c r="R13" s="73">
        <v>5.9696190048651312</v>
      </c>
      <c r="S13" s="73">
        <v>6.0992744963736056</v>
      </c>
      <c r="T13" s="73">
        <v>6.0481182297692664</v>
      </c>
      <c r="U13" s="73">
        <v>6.2353254656933936</v>
      </c>
      <c r="V13" s="73">
        <v>6.1493084930961315</v>
      </c>
      <c r="W13" s="73">
        <v>6.4277999985609569</v>
      </c>
      <c r="X13" s="73">
        <v>6.4847470521273349</v>
      </c>
    </row>
    <row r="14" spans="1:24" x14ac:dyDescent="0.2">
      <c r="A14" s="7" t="s">
        <v>78</v>
      </c>
      <c r="B14" s="73">
        <v>4.8716911742412758</v>
      </c>
      <c r="C14" s="73">
        <v>5.0328039922935002</v>
      </c>
      <c r="D14" s="73">
        <v>5.1350151415388749</v>
      </c>
      <c r="E14" s="73">
        <v>5.2019197155312877</v>
      </c>
      <c r="F14" s="73">
        <v>5.3074228407246116</v>
      </c>
      <c r="G14" s="73">
        <v>5.318565200237666</v>
      </c>
      <c r="H14" s="73">
        <v>5.4597556887545782</v>
      </c>
      <c r="I14" s="73">
        <v>5.6673361366571271</v>
      </c>
      <c r="J14" s="73">
        <v>5.8568132820553673</v>
      </c>
      <c r="K14" s="73">
        <v>5.8879255531687047</v>
      </c>
      <c r="L14" s="73">
        <v>5.8579375949712542</v>
      </c>
      <c r="M14" s="73">
        <v>5.7499893095785355</v>
      </c>
      <c r="N14" s="73">
        <v>5.7174372219053531</v>
      </c>
      <c r="O14" s="73">
        <v>5.9613197645629858</v>
      </c>
      <c r="P14" s="73">
        <v>5.8949759160972484</v>
      </c>
      <c r="Q14" s="73">
        <v>5.9879332460688879</v>
      </c>
      <c r="R14" s="73">
        <v>5.9671995471174277</v>
      </c>
      <c r="S14" s="73">
        <v>5.9474204957398866</v>
      </c>
      <c r="T14" s="73">
        <v>5.9004836148971176</v>
      </c>
      <c r="U14" s="73">
        <v>6.2014545635708016</v>
      </c>
      <c r="V14" s="73">
        <v>6.2848064147673384</v>
      </c>
      <c r="W14" s="73">
        <v>6.3703293740894029</v>
      </c>
      <c r="X14" s="73">
        <v>6.3982926468711891</v>
      </c>
    </row>
    <row r="15" spans="1:24" x14ac:dyDescent="0.2">
      <c r="A15" s="7" t="s">
        <v>2</v>
      </c>
      <c r="B15" s="73">
        <v>5.2581035762031476</v>
      </c>
      <c r="C15" s="73">
        <v>5.2069218449009211</v>
      </c>
      <c r="D15" s="73">
        <v>5.2413446474246488</v>
      </c>
      <c r="E15" s="73">
        <v>5.250850892335408</v>
      </c>
      <c r="F15" s="73">
        <v>5.3149943097323122</v>
      </c>
      <c r="G15" s="73">
        <v>5.3380123225336638</v>
      </c>
      <c r="H15" s="73">
        <v>5.4308392193919577</v>
      </c>
      <c r="I15" s="73">
        <v>5.4319859578911043</v>
      </c>
      <c r="J15" s="73">
        <v>5.4572239303034165</v>
      </c>
      <c r="K15" s="73">
        <v>5.559675569746692</v>
      </c>
      <c r="L15" s="73">
        <v>5.5651416089300323</v>
      </c>
      <c r="M15" s="73">
        <v>5.5354071685450288</v>
      </c>
      <c r="N15" s="73">
        <v>5.4593543815718943</v>
      </c>
      <c r="O15" s="73">
        <v>5.4859051341985605</v>
      </c>
      <c r="P15" s="73">
        <v>5.370698547957077</v>
      </c>
      <c r="Q15" s="73">
        <v>5.3933853224786832</v>
      </c>
      <c r="R15" s="73">
        <v>5.3653345568545765</v>
      </c>
      <c r="S15" s="73">
        <v>5.5996499970834197</v>
      </c>
      <c r="T15" s="73">
        <v>5.5146119066077226</v>
      </c>
      <c r="U15" s="73">
        <v>5.5972270397895754</v>
      </c>
      <c r="V15" s="73">
        <v>5.508796345331807</v>
      </c>
      <c r="W15" s="73">
        <v>5.6995368162131674</v>
      </c>
      <c r="X15" s="73">
        <v>5.7654461870951108</v>
      </c>
    </row>
    <row r="16" spans="1:24" x14ac:dyDescent="0.2">
      <c r="A16" s="7" t="s">
        <v>75</v>
      </c>
      <c r="B16" s="73">
        <v>4.60691988599058</v>
      </c>
      <c r="C16" s="73">
        <v>4.9211977202857753</v>
      </c>
      <c r="D16" s="73">
        <v>5.0029852041262215</v>
      </c>
      <c r="E16" s="73">
        <v>5.0763785097736278</v>
      </c>
      <c r="F16" s="73">
        <v>5.1774094838469464</v>
      </c>
      <c r="G16" s="73">
        <v>5.2183774499397044</v>
      </c>
      <c r="H16" s="73">
        <v>5.2953124954176811</v>
      </c>
      <c r="I16" s="73">
        <v>5.4431371650044129</v>
      </c>
      <c r="J16" s="73">
        <v>5.5098699913570446</v>
      </c>
      <c r="K16" s="73">
        <v>5.6027571365681839</v>
      </c>
      <c r="L16" s="73">
        <v>5.6153400292758899</v>
      </c>
      <c r="M16" s="73">
        <v>5.5168856934649861</v>
      </c>
      <c r="N16" s="73">
        <v>5.5177795208822857</v>
      </c>
      <c r="O16" s="73">
        <v>5.5452946275585591</v>
      </c>
      <c r="P16" s="73">
        <v>5.581826027627578</v>
      </c>
      <c r="Q16" s="73">
        <v>5.6459698377582956</v>
      </c>
      <c r="R16" s="73">
        <v>5.6784217226128124</v>
      </c>
      <c r="S16" s="73">
        <v>5.704473875812079</v>
      </c>
      <c r="T16" s="73">
        <v>5.6321725507286668</v>
      </c>
      <c r="U16" s="73">
        <v>5.7694198187941375</v>
      </c>
      <c r="V16" s="73">
        <v>5.874760492509334</v>
      </c>
      <c r="W16" s="73">
        <v>6.029437139687654</v>
      </c>
      <c r="X16" s="73">
        <v>6.2353683995942273</v>
      </c>
    </row>
    <row r="17" spans="1:24" x14ac:dyDescent="0.2">
      <c r="A17" s="7" t="s">
        <v>79</v>
      </c>
      <c r="B17" s="73">
        <v>4.7255555273240679</v>
      </c>
      <c r="C17" s="73">
        <v>4.7225337700102328</v>
      </c>
      <c r="D17" s="73">
        <v>4.7411211032377309</v>
      </c>
      <c r="E17" s="73">
        <v>4.8604900097864077</v>
      </c>
      <c r="F17" s="73">
        <v>4.9153646067186028</v>
      </c>
      <c r="G17" s="73">
        <v>5.1105842272619846</v>
      </c>
      <c r="H17" s="73">
        <v>5.2158102042850851</v>
      </c>
      <c r="I17" s="73">
        <v>5.30035945225573</v>
      </c>
      <c r="J17" s="73">
        <v>5.4264684952265059</v>
      </c>
      <c r="K17" s="73">
        <v>5.5782802171364727</v>
      </c>
      <c r="L17" s="73">
        <v>5.5950210020880355</v>
      </c>
      <c r="M17" s="73">
        <v>5.5423394721019177</v>
      </c>
      <c r="N17" s="73">
        <v>5.4664965347597763</v>
      </c>
      <c r="O17" s="73">
        <v>5.5432675415097776</v>
      </c>
      <c r="P17" s="73">
        <v>5.5551045157109602</v>
      </c>
      <c r="Q17" s="73">
        <v>5.675398328797181</v>
      </c>
      <c r="R17" s="73">
        <v>5.5902052030561</v>
      </c>
      <c r="S17" s="73">
        <v>5.7014745476455495</v>
      </c>
      <c r="T17" s="73">
        <v>5.6289855304193166</v>
      </c>
      <c r="U17" s="73">
        <v>5.8114022920706114</v>
      </c>
      <c r="V17" s="73">
        <v>5.8377912157708236</v>
      </c>
      <c r="W17" s="73">
        <v>6.0327077938068587</v>
      </c>
      <c r="X17" s="73">
        <v>6.105194348995215</v>
      </c>
    </row>
    <row r="18" spans="1:24" x14ac:dyDescent="0.2">
      <c r="A18" s="7" t="s">
        <v>80</v>
      </c>
      <c r="B18" s="73">
        <v>4.5875330137987085</v>
      </c>
      <c r="C18" s="73">
        <v>4.5131089576559873</v>
      </c>
      <c r="D18" s="73">
        <v>4.6382433863552492</v>
      </c>
      <c r="E18" s="73">
        <v>4.6448956677265505</v>
      </c>
      <c r="F18" s="73">
        <v>4.7783274536717348</v>
      </c>
      <c r="G18" s="73">
        <v>4.802751143596673</v>
      </c>
      <c r="H18" s="73">
        <v>4.8715023680098914</v>
      </c>
      <c r="I18" s="73">
        <v>4.9407564213050996</v>
      </c>
      <c r="J18" s="73">
        <v>5.1014304635989944</v>
      </c>
      <c r="K18" s="73">
        <v>5.1665446007611759</v>
      </c>
      <c r="L18" s="73">
        <v>5.1944007905735088</v>
      </c>
      <c r="M18" s="73">
        <v>5.204787683069596</v>
      </c>
      <c r="N18" s="73">
        <v>5.2558450222186908</v>
      </c>
      <c r="O18" s="73">
        <v>5.2904476122167532</v>
      </c>
      <c r="P18" s="73">
        <v>5.372354620430154</v>
      </c>
      <c r="Q18" s="73">
        <v>5.3814128485638069</v>
      </c>
      <c r="R18" s="73">
        <v>5.3887701593872226</v>
      </c>
      <c r="S18" s="73">
        <v>5.5411771399584584</v>
      </c>
      <c r="T18" s="73">
        <v>5.4549231191792593</v>
      </c>
      <c r="U18" s="73">
        <v>5.5811068249398996</v>
      </c>
      <c r="V18" s="73">
        <v>5.5034896386227921</v>
      </c>
      <c r="W18" s="73">
        <v>5.6996107314366053</v>
      </c>
      <c r="X18" s="73">
        <v>5.8394820183464624</v>
      </c>
    </row>
    <row r="19" spans="1:24" x14ac:dyDescent="0.2">
      <c r="A19" s="7" t="s">
        <v>3</v>
      </c>
      <c r="B19" s="73">
        <v>4.844647918641118</v>
      </c>
      <c r="C19" s="73">
        <v>5.1599454018550324</v>
      </c>
      <c r="D19" s="73">
        <v>4.999509009431252</v>
      </c>
      <c r="E19" s="73">
        <v>5.116598746276841</v>
      </c>
      <c r="F19" s="73">
        <v>5.4356633594851225</v>
      </c>
      <c r="G19" s="73">
        <v>5.4570184643741095</v>
      </c>
      <c r="H19" s="73">
        <v>5.4958431067399411</v>
      </c>
      <c r="I19" s="73">
        <v>5.6442746511985042</v>
      </c>
      <c r="J19" s="73">
        <v>5.6963135628633461</v>
      </c>
      <c r="K19" s="73">
        <v>5.7499752671971081</v>
      </c>
      <c r="L19" s="73">
        <v>5.5133006350244882</v>
      </c>
      <c r="M19" s="73">
        <v>5.5658463626900749</v>
      </c>
      <c r="N19" s="73">
        <v>5.5088313012732533</v>
      </c>
      <c r="O19" s="73">
        <v>5.5396271835632414</v>
      </c>
      <c r="P19" s="73">
        <v>5.433928318037653</v>
      </c>
      <c r="Q19" s="73">
        <v>5.4882996776149424</v>
      </c>
      <c r="R19" s="73">
        <v>5.5360779460414289</v>
      </c>
      <c r="S19" s="73">
        <v>5.6200402179509572</v>
      </c>
      <c r="T19" s="73">
        <v>5.564809112397576</v>
      </c>
      <c r="U19" s="73">
        <v>5.8113525416752418</v>
      </c>
      <c r="V19" s="73">
        <v>5.808004336847941</v>
      </c>
      <c r="W19" s="73">
        <v>5.9670102357136505</v>
      </c>
      <c r="X19" s="73">
        <v>6.1613312743467468</v>
      </c>
    </row>
    <row r="20" spans="1:24" x14ac:dyDescent="0.2">
      <c r="A20" s="7" t="s">
        <v>4</v>
      </c>
      <c r="B20" s="73">
        <v>5.0377702369480479</v>
      </c>
      <c r="C20" s="73">
        <v>5.1007951679560319</v>
      </c>
      <c r="D20" s="73">
        <v>5.1073069770576236</v>
      </c>
      <c r="E20" s="73">
        <v>5.1230969785977125</v>
      </c>
      <c r="F20" s="73">
        <v>5.1667010047935102</v>
      </c>
      <c r="G20" s="73">
        <v>5.2176329306860056</v>
      </c>
      <c r="H20" s="73">
        <v>5.2860629645227544</v>
      </c>
      <c r="I20" s="73">
        <v>5.4256876451882787</v>
      </c>
      <c r="J20" s="73">
        <v>5.6852461726392143</v>
      </c>
      <c r="K20" s="73">
        <v>5.7446058736406265</v>
      </c>
      <c r="L20" s="73">
        <v>5.7937105609625723</v>
      </c>
      <c r="M20" s="73">
        <v>5.7720367013264751</v>
      </c>
      <c r="N20" s="73">
        <v>5.6821691811708694</v>
      </c>
      <c r="O20" s="73">
        <v>5.68013991470007</v>
      </c>
      <c r="P20" s="73">
        <v>5.7117196378422932</v>
      </c>
      <c r="Q20" s="73">
        <v>5.7333799524734763</v>
      </c>
      <c r="R20" s="73">
        <v>5.7163317374689351</v>
      </c>
      <c r="S20" s="73">
        <v>5.8245231937292425</v>
      </c>
      <c r="T20" s="73">
        <v>5.8177089147659835</v>
      </c>
      <c r="U20" s="73">
        <v>5.9533847360037742</v>
      </c>
      <c r="V20" s="73">
        <v>5.8234021842077572</v>
      </c>
      <c r="W20" s="73">
        <v>6.1161919298838665</v>
      </c>
      <c r="X20" s="73">
        <v>6.2235658141907457</v>
      </c>
    </row>
    <row r="21" spans="1:24" s="48" customFormat="1" x14ac:dyDescent="0.2">
      <c r="A21" s="49" t="s">
        <v>0</v>
      </c>
      <c r="B21" s="74">
        <v>4.9778851701325539</v>
      </c>
      <c r="C21" s="74">
        <v>5.0182717059538033</v>
      </c>
      <c r="D21" s="74">
        <v>5.0784590417793014</v>
      </c>
      <c r="E21" s="74">
        <v>5.1050747916031023</v>
      </c>
      <c r="F21" s="74">
        <v>5.1975377105858005</v>
      </c>
      <c r="G21" s="74">
        <v>5.236386492680297</v>
      </c>
      <c r="H21" s="74">
        <v>5.3194075302061128</v>
      </c>
      <c r="I21" s="74">
        <v>5.4298714837090731</v>
      </c>
      <c r="J21" s="74">
        <v>5.5517550705426171</v>
      </c>
      <c r="K21" s="74">
        <v>5.6206424620731568</v>
      </c>
      <c r="L21" s="74">
        <v>5.6189364227923058</v>
      </c>
      <c r="M21" s="74">
        <v>5.5812406175010922</v>
      </c>
      <c r="N21" s="74">
        <v>5.5385775643591311</v>
      </c>
      <c r="O21" s="74">
        <v>5.6297434146471588</v>
      </c>
      <c r="P21" s="74">
        <v>5.603893866121104</v>
      </c>
      <c r="Q21" s="74">
        <v>5.6711696639532896</v>
      </c>
      <c r="R21" s="74">
        <v>5.6593024263437579</v>
      </c>
      <c r="S21" s="74">
        <v>5.7642732807578705</v>
      </c>
      <c r="T21" s="74">
        <v>5.7025166495314128</v>
      </c>
      <c r="U21" s="74">
        <v>5.8768598814754363</v>
      </c>
      <c r="V21" s="74">
        <v>5.8399626395569282</v>
      </c>
      <c r="W21" s="74">
        <v>6.0463014643725987</v>
      </c>
      <c r="X21" s="74">
        <v>6.1351547930005603</v>
      </c>
    </row>
  </sheetData>
  <hyperlinks>
    <hyperlink ref="A2" location="Sommaire!A1" display="Retour au menu &quot;Exploitation des films&quot;" xr:uid="{00000000-0004-0000-1300-000000000000}"/>
  </hyperlinks>
  <pageMargins left="0.78740157499999996" right="0.78740157499999996" top="0.984251969" bottom="0.984251969" header="0.4921259845" footer="0.492125984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21"/>
  <sheetViews>
    <sheetView workbookViewId="0"/>
  </sheetViews>
  <sheetFormatPr baseColWidth="10" defaultColWidth="5.5703125" defaultRowHeight="12" x14ac:dyDescent="0.2"/>
  <cols>
    <col min="1" max="1" width="29.7109375" style="46" customWidth="1"/>
    <col min="2" max="4" width="5" style="46" bestFit="1" customWidth="1"/>
    <col min="5" max="18" width="5" style="47" bestFit="1" customWidth="1"/>
    <col min="19" max="19" width="5" style="46" bestFit="1" customWidth="1"/>
    <col min="20"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48</v>
      </c>
      <c r="B5" s="45"/>
      <c r="C5" s="45"/>
    </row>
    <row r="6" spans="1:24" ht="3" customHeight="1" x14ac:dyDescent="0.2"/>
    <row r="7" spans="1:24" s="48" customFormat="1" x14ac:dyDescent="0.2">
      <c r="A7" s="5"/>
      <c r="B7" s="12">
        <v>2002</v>
      </c>
      <c r="C7" s="12">
        <v>2003</v>
      </c>
      <c r="D7" s="12">
        <v>2004</v>
      </c>
      <c r="E7" s="12">
        <v>2005</v>
      </c>
      <c r="F7" s="12">
        <v>2006</v>
      </c>
      <c r="G7" s="12">
        <v>2007</v>
      </c>
      <c r="H7" s="12">
        <v>2008</v>
      </c>
      <c r="I7" s="12">
        <v>2009</v>
      </c>
      <c r="J7" s="12">
        <v>2010</v>
      </c>
      <c r="K7" s="12">
        <v>2011</v>
      </c>
      <c r="L7" s="12">
        <v>2012</v>
      </c>
      <c r="M7" s="12">
        <v>2013</v>
      </c>
      <c r="N7" s="12">
        <v>2014</v>
      </c>
      <c r="O7" s="12">
        <v>2015</v>
      </c>
      <c r="P7" s="12">
        <v>2016</v>
      </c>
      <c r="Q7" s="12">
        <v>2017</v>
      </c>
      <c r="R7" s="12">
        <v>2018</v>
      </c>
      <c r="S7" s="12">
        <v>2019</v>
      </c>
      <c r="T7" s="12">
        <v>2020</v>
      </c>
      <c r="U7" s="12">
        <v>2021</v>
      </c>
      <c r="V7" s="12">
        <v>2022</v>
      </c>
      <c r="W7" s="12">
        <v>2023</v>
      </c>
      <c r="X7" s="12">
        <v>2024</v>
      </c>
    </row>
    <row r="8" spans="1:24" x14ac:dyDescent="0.2">
      <c r="A8" s="7" t="s">
        <v>72</v>
      </c>
      <c r="B8" s="73">
        <v>0.89326523143644532</v>
      </c>
      <c r="C8" s="73">
        <v>0.84635027181083322</v>
      </c>
      <c r="D8" s="73">
        <v>1.0203802218524878</v>
      </c>
      <c r="E8" s="73">
        <v>0.85898634961985021</v>
      </c>
      <c r="F8" s="73">
        <v>0.87866889618648847</v>
      </c>
      <c r="G8" s="73">
        <v>0.82663366343833944</v>
      </c>
      <c r="H8" s="73">
        <v>0.76510870969610834</v>
      </c>
      <c r="I8" s="73">
        <v>0.82785492186782239</v>
      </c>
      <c r="J8" s="73">
        <v>0.80979021165489729</v>
      </c>
      <c r="K8" s="73">
        <v>0.86906851531287899</v>
      </c>
      <c r="L8" s="73">
        <v>0.73478717547747985</v>
      </c>
      <c r="M8" s="73">
        <v>0.76363607274511403</v>
      </c>
      <c r="N8" s="73">
        <v>0.92475431203855862</v>
      </c>
      <c r="O8" s="73">
        <v>0.97571870137419447</v>
      </c>
      <c r="P8" s="73">
        <v>0.95587834249196357</v>
      </c>
      <c r="Q8" s="73">
        <v>1.0327970187525468</v>
      </c>
      <c r="R8" s="73">
        <v>1.1030392560165401</v>
      </c>
      <c r="S8" s="73">
        <v>1.2747385433087377</v>
      </c>
      <c r="T8" s="73">
        <v>0.41769716911908189</v>
      </c>
      <c r="U8" s="73">
        <v>0.57671190106400749</v>
      </c>
      <c r="V8" s="73">
        <v>0.94630511146831475</v>
      </c>
      <c r="W8" s="73">
        <v>1.1599163736139335</v>
      </c>
      <c r="X8" s="73">
        <v>1.2353624129235226</v>
      </c>
    </row>
    <row r="9" spans="1:24" x14ac:dyDescent="0.2">
      <c r="A9" s="7" t="s">
        <v>73</v>
      </c>
      <c r="B9" s="73">
        <v>1.0251891551765484</v>
      </c>
      <c r="C9" s="73">
        <v>0.91598518000268414</v>
      </c>
      <c r="D9" s="73">
        <v>1.1065422396644529</v>
      </c>
      <c r="E9" s="73">
        <v>0.99700841278219055</v>
      </c>
      <c r="F9" s="73">
        <v>1.0206470628345912</v>
      </c>
      <c r="G9" s="73">
        <v>1.1274678159367995</v>
      </c>
      <c r="H9" s="73">
        <v>1.2313509165726182</v>
      </c>
      <c r="I9" s="73">
        <v>1.1863450649247635</v>
      </c>
      <c r="J9" s="73">
        <v>1.280802559417535</v>
      </c>
      <c r="K9" s="73">
        <v>1.3722427327543378</v>
      </c>
      <c r="L9" s="73">
        <v>1.1309304467987102</v>
      </c>
      <c r="M9" s="73">
        <v>1.0697090596868082</v>
      </c>
      <c r="N9" s="73">
        <v>1.4210657235378186</v>
      </c>
      <c r="O9" s="73">
        <v>1.4348755428951532</v>
      </c>
      <c r="P9" s="73">
        <v>1.3842076479158809</v>
      </c>
      <c r="Q9" s="73">
        <v>1.3997406070962886</v>
      </c>
      <c r="R9" s="73">
        <v>1.2474888707363334</v>
      </c>
      <c r="S9" s="73">
        <v>1.3232910196339833</v>
      </c>
      <c r="T9" s="73">
        <v>0.46743777144757659</v>
      </c>
      <c r="U9" s="73">
        <v>0.66450123225545188</v>
      </c>
      <c r="V9" s="73">
        <v>1.0528266033584701</v>
      </c>
      <c r="W9" s="73">
        <v>1.4081729638561593</v>
      </c>
      <c r="X9" s="73">
        <v>1.4593835800395492</v>
      </c>
    </row>
    <row r="10" spans="1:24" x14ac:dyDescent="0.2">
      <c r="A10" s="7" t="s">
        <v>1</v>
      </c>
      <c r="B10" s="73">
        <v>1.1561325677509129</v>
      </c>
      <c r="C10" s="73">
        <v>1.0914222263666227</v>
      </c>
      <c r="D10" s="73">
        <v>1.2100668468984344</v>
      </c>
      <c r="E10" s="73">
        <v>0.95849358901857273</v>
      </c>
      <c r="F10" s="73">
        <v>0.93093367603702559</v>
      </c>
      <c r="G10" s="73">
        <v>0.94019383624195485</v>
      </c>
      <c r="H10" s="73">
        <v>1.007720938639312</v>
      </c>
      <c r="I10" s="73">
        <v>1.0781754781880091</v>
      </c>
      <c r="J10" s="73">
        <v>1.1184819481446042</v>
      </c>
      <c r="K10" s="73">
        <v>1.1894989344405951</v>
      </c>
      <c r="L10" s="73">
        <v>1.1172086472433902</v>
      </c>
      <c r="M10" s="73">
        <v>1.051723445973785</v>
      </c>
      <c r="N10" s="73">
        <v>1.2029878395432978</v>
      </c>
      <c r="O10" s="73">
        <v>1.2207216584441072</v>
      </c>
      <c r="P10" s="73">
        <v>1.4471402556822857</v>
      </c>
      <c r="Q10" s="73">
        <v>1.4312774095342808</v>
      </c>
      <c r="R10" s="73">
        <v>1.3791361707251089</v>
      </c>
      <c r="S10" s="73">
        <v>1.4708227862537784</v>
      </c>
      <c r="T10" s="73">
        <v>0.47447089439138385</v>
      </c>
      <c r="U10" s="73">
        <v>0.71021577108763867</v>
      </c>
      <c r="V10" s="73">
        <v>1.1327873827141173</v>
      </c>
      <c r="W10" s="73">
        <v>1.4469589330142669</v>
      </c>
      <c r="X10" s="73">
        <v>1.3075333505224143</v>
      </c>
    </row>
    <row r="11" spans="1:24" x14ac:dyDescent="0.2">
      <c r="A11" s="7" t="s">
        <v>74</v>
      </c>
      <c r="B11" s="73">
        <v>0.57342104281840689</v>
      </c>
      <c r="C11" s="73">
        <v>0.47145118547540105</v>
      </c>
      <c r="D11" s="73">
        <v>0.52263186491964686</v>
      </c>
      <c r="E11" s="73">
        <v>0.53426918196658391</v>
      </c>
      <c r="F11" s="73">
        <v>0.63317839633560136</v>
      </c>
      <c r="G11" s="73">
        <v>0.64448359335324457</v>
      </c>
      <c r="H11" s="73">
        <v>0.68616084807779743</v>
      </c>
      <c r="I11" s="73">
        <v>0.74241638662915366</v>
      </c>
      <c r="J11" s="73">
        <v>0.98273700251796359</v>
      </c>
      <c r="K11" s="73">
        <v>1.1569585096268711</v>
      </c>
      <c r="L11" s="73">
        <v>1.0858041017471529</v>
      </c>
      <c r="M11" s="73">
        <v>1.0006840929956247</v>
      </c>
      <c r="N11" s="73">
        <v>1.1484648930387744</v>
      </c>
      <c r="O11" s="73">
        <v>1.1525854043194719</v>
      </c>
      <c r="P11" s="73">
        <v>1.2285497342444951</v>
      </c>
      <c r="Q11" s="73">
        <v>1.23710944310424</v>
      </c>
      <c r="R11" s="73">
        <v>1.1183249179639174</v>
      </c>
      <c r="S11" s="73">
        <v>1.073767331653678</v>
      </c>
      <c r="T11" s="73">
        <v>0.38967927395740393</v>
      </c>
      <c r="U11" s="73">
        <v>0.5490300199454321</v>
      </c>
      <c r="V11" s="73">
        <v>0.8857492527584977</v>
      </c>
      <c r="W11" s="73">
        <v>1.0466372138233127</v>
      </c>
      <c r="X11" s="73">
        <v>1.0797532403255539</v>
      </c>
    </row>
    <row r="12" spans="1:24" x14ac:dyDescent="0.2">
      <c r="A12" s="7" t="s">
        <v>5</v>
      </c>
      <c r="B12" s="73">
        <v>0.65074789773862785</v>
      </c>
      <c r="C12" s="73">
        <v>0.58909437500960815</v>
      </c>
      <c r="D12" s="73">
        <v>0.68172298193242165</v>
      </c>
      <c r="E12" s="73">
        <v>0.5078403905915313</v>
      </c>
      <c r="F12" s="73">
        <v>0.44253354742516343</v>
      </c>
      <c r="G12" s="73">
        <v>0.42559353136827616</v>
      </c>
      <c r="H12" s="73">
        <v>0.19420518408074319</v>
      </c>
      <c r="I12" s="73">
        <v>0.1633960316550063</v>
      </c>
      <c r="J12" s="73">
        <v>0.20150246587911458</v>
      </c>
      <c r="K12" s="73">
        <v>0.28090377336850558</v>
      </c>
      <c r="L12" s="73">
        <v>0.30153687349466685</v>
      </c>
      <c r="M12" s="73">
        <v>0.2858842757196926</v>
      </c>
      <c r="N12" s="73">
        <v>0.30791661887831173</v>
      </c>
      <c r="O12" s="73">
        <v>0.29728179837137286</v>
      </c>
      <c r="P12" s="73">
        <v>0.2600384218373667</v>
      </c>
      <c r="Q12" s="73">
        <v>1.3046020185801124</v>
      </c>
      <c r="R12" s="73">
        <v>1.2020157128111022</v>
      </c>
      <c r="S12" s="73">
        <v>1.2282257139580226</v>
      </c>
      <c r="T12" s="73">
        <v>0.31382612684940936</v>
      </c>
      <c r="U12" s="73">
        <v>0.78641472645945631</v>
      </c>
      <c r="V12" s="73">
        <v>1.1264021103337538</v>
      </c>
      <c r="W12" s="73">
        <v>1.4616011010436978</v>
      </c>
      <c r="X12" s="73">
        <v>1.7742372978552585</v>
      </c>
    </row>
    <row r="13" spans="1:24" x14ac:dyDescent="0.2">
      <c r="A13" s="7" t="s">
        <v>77</v>
      </c>
      <c r="B13" s="73">
        <v>0.62199111768510329</v>
      </c>
      <c r="C13" s="73">
        <v>0.58730204697186728</v>
      </c>
      <c r="D13" s="73">
        <v>0.73547518896502884</v>
      </c>
      <c r="E13" s="73">
        <v>0.64253556032500325</v>
      </c>
      <c r="F13" s="73">
        <v>0.70974432000609688</v>
      </c>
      <c r="G13" s="73">
        <v>0.62818929620082375</v>
      </c>
      <c r="H13" s="73">
        <v>0.67916352356146925</v>
      </c>
      <c r="I13" s="73">
        <v>0.70478903383827651</v>
      </c>
      <c r="J13" s="73">
        <v>0.70738690290115958</v>
      </c>
      <c r="K13" s="73">
        <v>0.7149067159307978</v>
      </c>
      <c r="L13" s="73">
        <v>0.73335624360059082</v>
      </c>
      <c r="M13" s="73">
        <v>0.68469127238778849</v>
      </c>
      <c r="N13" s="73">
        <v>0.81809288960802984</v>
      </c>
      <c r="O13" s="73">
        <v>0.93329284049443839</v>
      </c>
      <c r="P13" s="73">
        <v>0.99540689128607751</v>
      </c>
      <c r="Q13" s="73">
        <v>0.99603174883196444</v>
      </c>
      <c r="R13" s="73">
        <v>0.89480888391480484</v>
      </c>
      <c r="S13" s="73">
        <v>0.94214934060063948</v>
      </c>
      <c r="T13" s="73">
        <v>0.35328778800428756</v>
      </c>
      <c r="U13" s="73">
        <v>0.49986186802415883</v>
      </c>
      <c r="V13" s="73">
        <v>0.70877316224491449</v>
      </c>
      <c r="W13" s="73">
        <v>0.88265521059216456</v>
      </c>
      <c r="X13" s="73">
        <v>0.82507516990409446</v>
      </c>
    </row>
    <row r="14" spans="1:24" x14ac:dyDescent="0.2">
      <c r="A14" s="7" t="s">
        <v>78</v>
      </c>
      <c r="B14" s="73">
        <v>0.56338610370075815</v>
      </c>
      <c r="C14" s="73">
        <v>0.48549216301797171</v>
      </c>
      <c r="D14" s="73">
        <v>0.55248461905709778</v>
      </c>
      <c r="E14" s="73">
        <v>0.46780643798519161</v>
      </c>
      <c r="F14" s="73">
        <v>0.55958961370866944</v>
      </c>
      <c r="G14" s="73">
        <v>0.6252906752337638</v>
      </c>
      <c r="H14" s="73">
        <v>0.65655236753109592</v>
      </c>
      <c r="I14" s="73">
        <v>0.58570382086620321</v>
      </c>
      <c r="J14" s="73">
        <v>0.68033033254987751</v>
      </c>
      <c r="K14" s="73">
        <v>0.74524531035196384</v>
      </c>
      <c r="L14" s="73">
        <v>0.70355527962144471</v>
      </c>
      <c r="M14" s="73">
        <v>0.6030328115222201</v>
      </c>
      <c r="N14" s="73">
        <v>0.77636164450160228</v>
      </c>
      <c r="O14" s="73">
        <v>0.83190258211914114</v>
      </c>
      <c r="P14" s="73">
        <v>0.9224751618238588</v>
      </c>
      <c r="Q14" s="73">
        <v>0.92615296933025204</v>
      </c>
      <c r="R14" s="73">
        <v>0.82775585087075276</v>
      </c>
      <c r="S14" s="73">
        <v>0.71414474386580407</v>
      </c>
      <c r="T14" s="73">
        <v>0.25118479208857486</v>
      </c>
      <c r="U14" s="73">
        <v>0.38243088096892291</v>
      </c>
      <c r="V14" s="73">
        <v>0.593449357057097</v>
      </c>
      <c r="W14" s="73">
        <v>0.74696644936855439</v>
      </c>
      <c r="X14" s="73">
        <v>0.66552728873384015</v>
      </c>
    </row>
    <row r="15" spans="1:24" x14ac:dyDescent="0.2">
      <c r="A15" s="7" t="s">
        <v>2</v>
      </c>
      <c r="B15" s="73">
        <v>1.0233660181055542</v>
      </c>
      <c r="C15" s="73">
        <v>0.90401922495149178</v>
      </c>
      <c r="D15" s="73">
        <v>0.94944752088560258</v>
      </c>
      <c r="E15" s="73">
        <v>0.89587394136193421</v>
      </c>
      <c r="F15" s="73">
        <v>0.87837635960632765</v>
      </c>
      <c r="G15" s="73">
        <v>0.81308379831126498</v>
      </c>
      <c r="H15" s="73">
        <v>0.78728348996688646</v>
      </c>
      <c r="I15" s="73">
        <v>0.78756019148949441</v>
      </c>
      <c r="J15" s="73">
        <v>0.79566167280992273</v>
      </c>
      <c r="K15" s="73">
        <v>0.881506057119123</v>
      </c>
      <c r="L15" s="73">
        <v>0.8248868798872534</v>
      </c>
      <c r="M15" s="73">
        <v>0.81511042728430405</v>
      </c>
      <c r="N15" s="73">
        <v>0.85125992731902145</v>
      </c>
      <c r="O15" s="73">
        <v>0.73297204489469192</v>
      </c>
      <c r="P15" s="73">
        <v>0.80389415516833906</v>
      </c>
      <c r="Q15" s="73">
        <v>0.78459228353832622</v>
      </c>
      <c r="R15" s="73">
        <v>0.73820981573493683</v>
      </c>
      <c r="S15" s="73">
        <v>0.90673036940634244</v>
      </c>
      <c r="T15" s="73">
        <v>0.33820907081403079</v>
      </c>
      <c r="U15" s="73">
        <v>0.43665137890498834</v>
      </c>
      <c r="V15" s="73">
        <v>0.73271562016312375</v>
      </c>
      <c r="W15" s="73">
        <v>0.85678410017394246</v>
      </c>
      <c r="X15" s="73">
        <v>0.864190765887763</v>
      </c>
    </row>
    <row r="16" spans="1:24" x14ac:dyDescent="0.2">
      <c r="A16" s="7" t="s">
        <v>75</v>
      </c>
      <c r="B16" s="73">
        <v>0.6582269152522261</v>
      </c>
      <c r="C16" s="73">
        <v>0.84317251048827668</v>
      </c>
      <c r="D16" s="73">
        <v>0.97343022074466135</v>
      </c>
      <c r="E16" s="73">
        <v>0.87467470947241122</v>
      </c>
      <c r="F16" s="73">
        <v>0.9877081447710665</v>
      </c>
      <c r="G16" s="73">
        <v>0.88899583489630229</v>
      </c>
      <c r="H16" s="73">
        <v>0.90358576974920457</v>
      </c>
      <c r="I16" s="73">
        <v>0.89908795240958284</v>
      </c>
      <c r="J16" s="73">
        <v>0.93751520030244551</v>
      </c>
      <c r="K16" s="73">
        <v>1.0661140283260029</v>
      </c>
      <c r="L16" s="73">
        <v>1.0083464014222479</v>
      </c>
      <c r="M16" s="73">
        <v>0.91152231507451897</v>
      </c>
      <c r="N16" s="73">
        <v>1.0146173174800681</v>
      </c>
      <c r="O16" s="73">
        <v>0.97381425863450788</v>
      </c>
      <c r="P16" s="73">
        <v>1.0262178349822779</v>
      </c>
      <c r="Q16" s="73">
        <v>1.0648723881243018</v>
      </c>
      <c r="R16" s="73">
        <v>1.0091625803738995</v>
      </c>
      <c r="S16" s="73">
        <v>0.9859235630156693</v>
      </c>
      <c r="T16" s="73">
        <v>0.39185275566393452</v>
      </c>
      <c r="U16" s="73">
        <v>0.59171442923121953</v>
      </c>
      <c r="V16" s="73">
        <v>0.89480801833988255</v>
      </c>
      <c r="W16" s="73">
        <v>1.1702401485846126</v>
      </c>
      <c r="X16" s="73">
        <v>1.2768015560398716</v>
      </c>
    </row>
    <row r="17" spans="1:24" x14ac:dyDescent="0.2">
      <c r="A17" s="7" t="s">
        <v>79</v>
      </c>
      <c r="B17" s="73">
        <v>0.95037291567082416</v>
      </c>
      <c r="C17" s="73">
        <v>0.77463766545245183</v>
      </c>
      <c r="D17" s="73">
        <v>0.90344084590339313</v>
      </c>
      <c r="E17" s="73">
        <v>0.86385966473183629</v>
      </c>
      <c r="F17" s="73">
        <v>0.84804319573098008</v>
      </c>
      <c r="G17" s="73">
        <v>0.9063070090174199</v>
      </c>
      <c r="H17" s="73">
        <v>0.89879322153415553</v>
      </c>
      <c r="I17" s="73">
        <v>0.86425633952020842</v>
      </c>
      <c r="J17" s="73">
        <v>0.89368281553881002</v>
      </c>
      <c r="K17" s="73">
        <v>1.0035029127207791</v>
      </c>
      <c r="L17" s="73">
        <v>0.93840389090822474</v>
      </c>
      <c r="M17" s="73">
        <v>0.92377020931438736</v>
      </c>
      <c r="N17" s="73">
        <v>1.0374537345417916</v>
      </c>
      <c r="O17" s="73">
        <v>1.0403347785812094</v>
      </c>
      <c r="P17" s="73">
        <v>1.1511889471348429</v>
      </c>
      <c r="Q17" s="73">
        <v>1.2219661258180661</v>
      </c>
      <c r="R17" s="73">
        <v>1.1569450401273811</v>
      </c>
      <c r="S17" s="73">
        <v>1.2684802180785555</v>
      </c>
      <c r="T17" s="73">
        <v>0.42561094385180404</v>
      </c>
      <c r="U17" s="73">
        <v>0.66585511561523925</v>
      </c>
      <c r="V17" s="73">
        <v>1.0785886140996976</v>
      </c>
      <c r="W17" s="73">
        <v>1.2843587712406312</v>
      </c>
      <c r="X17" s="73">
        <v>1.2633978431623853</v>
      </c>
    </row>
    <row r="18" spans="1:24" x14ac:dyDescent="0.2">
      <c r="A18" s="7" t="s">
        <v>80</v>
      </c>
      <c r="B18" s="73">
        <v>0.803370305539023</v>
      </c>
      <c r="C18" s="73">
        <v>0.71770508949763112</v>
      </c>
      <c r="D18" s="73">
        <v>0.78371881876103144</v>
      </c>
      <c r="E18" s="73">
        <v>0.75797886862766584</v>
      </c>
      <c r="F18" s="73">
        <v>0.75501651246992008</v>
      </c>
      <c r="G18" s="73">
        <v>0.75558264492425031</v>
      </c>
      <c r="H18" s="73">
        <v>0.73959563513845727</v>
      </c>
      <c r="I18" s="73">
        <v>0.7193391797606663</v>
      </c>
      <c r="J18" s="73">
        <v>0.76099452350491092</v>
      </c>
      <c r="K18" s="73">
        <v>0.86614001478963631</v>
      </c>
      <c r="L18" s="73">
        <v>0.81252438494186074</v>
      </c>
      <c r="M18" s="73">
        <v>0.82372600107617644</v>
      </c>
      <c r="N18" s="73">
        <v>0.94328441776179894</v>
      </c>
      <c r="O18" s="73">
        <v>0.98024735658620166</v>
      </c>
      <c r="P18" s="73">
        <v>1.0972173409060382</v>
      </c>
      <c r="Q18" s="73">
        <v>1.0715063666120925</v>
      </c>
      <c r="R18" s="73">
        <v>1.0441875236674363</v>
      </c>
      <c r="S18" s="73">
        <v>1.1962172118370227</v>
      </c>
      <c r="T18" s="73">
        <v>0.3869177482688434</v>
      </c>
      <c r="U18" s="73">
        <v>0.55285622187275374</v>
      </c>
      <c r="V18" s="73">
        <v>0.90130156344070111</v>
      </c>
      <c r="W18" s="73">
        <v>1.1099735252716969</v>
      </c>
      <c r="X18" s="73">
        <v>1.1971631712798316</v>
      </c>
    </row>
    <row r="19" spans="1:24" x14ac:dyDescent="0.2">
      <c r="A19" s="7" t="s">
        <v>3</v>
      </c>
      <c r="B19" s="73">
        <v>0.70767406327813165</v>
      </c>
      <c r="C19" s="73">
        <v>0.86608260985747942</v>
      </c>
      <c r="D19" s="73">
        <v>0.76678832656248141</v>
      </c>
      <c r="E19" s="73">
        <v>0.69768129358098896</v>
      </c>
      <c r="F19" s="73">
        <v>0.89736329185494412</v>
      </c>
      <c r="G19" s="73">
        <v>0.89758940320369451</v>
      </c>
      <c r="H19" s="73">
        <v>0.81769307283538528</v>
      </c>
      <c r="I19" s="73">
        <v>0.8598660258394033</v>
      </c>
      <c r="J19" s="73">
        <v>0.97910114238489099</v>
      </c>
      <c r="K19" s="73">
        <v>1.0770644577941626</v>
      </c>
      <c r="L19" s="73">
        <v>0.8711802604537624</v>
      </c>
      <c r="M19" s="73">
        <v>0.95019789204062566</v>
      </c>
      <c r="N19" s="73">
        <v>1.0863549066162679</v>
      </c>
      <c r="O19" s="73">
        <v>1.1228980184284574</v>
      </c>
      <c r="P19" s="73">
        <v>1.0635095030495716</v>
      </c>
      <c r="Q19" s="73">
        <v>1.1032153696576414</v>
      </c>
      <c r="R19" s="73">
        <v>1.1264926025645667</v>
      </c>
      <c r="S19" s="73">
        <v>1.2738891610835603</v>
      </c>
      <c r="T19" s="73">
        <v>0.4346155826662581</v>
      </c>
      <c r="U19" s="73">
        <v>0.61932076864602892</v>
      </c>
      <c r="V19" s="73">
        <v>1.0152363870516457</v>
      </c>
      <c r="W19" s="73">
        <v>1.2360431686586728</v>
      </c>
      <c r="X19" s="73">
        <v>1.363032604389772</v>
      </c>
    </row>
    <row r="20" spans="1:24" x14ac:dyDescent="0.2">
      <c r="A20" s="7" t="s">
        <v>4</v>
      </c>
      <c r="B20" s="73">
        <v>0.86037241095560268</v>
      </c>
      <c r="C20" s="73">
        <v>0.82388473000571882</v>
      </c>
      <c r="D20" s="73">
        <v>0.86904597743161704</v>
      </c>
      <c r="E20" s="73">
        <v>0.81804261975331616</v>
      </c>
      <c r="F20" s="73">
        <v>0.83864930149280037</v>
      </c>
      <c r="G20" s="73">
        <v>0.78402441885770369</v>
      </c>
      <c r="H20" s="73">
        <v>0.82147314841765628</v>
      </c>
      <c r="I20" s="73">
        <v>0.84804951030472553</v>
      </c>
      <c r="J20" s="73">
        <v>0.93064676420757964</v>
      </c>
      <c r="K20" s="73">
        <v>0.94477152643372653</v>
      </c>
      <c r="L20" s="73">
        <v>0.80813056118301507</v>
      </c>
      <c r="M20" s="73">
        <v>0.80685051547786502</v>
      </c>
      <c r="N20" s="73">
        <v>0.81544149110732556</v>
      </c>
      <c r="O20" s="73">
        <v>0.73869692390888808</v>
      </c>
      <c r="P20" s="73">
        <v>0.82840565021412693</v>
      </c>
      <c r="Q20" s="73">
        <v>0.83496049697392793</v>
      </c>
      <c r="R20" s="73">
        <v>0.84699269467498672</v>
      </c>
      <c r="S20" s="73">
        <v>0.94890099291964447</v>
      </c>
      <c r="T20" s="73">
        <v>0.30124463812955232</v>
      </c>
      <c r="U20" s="73">
        <v>0.38998468119846141</v>
      </c>
      <c r="V20" s="73">
        <v>0.66117076153732268</v>
      </c>
      <c r="W20" s="73">
        <v>0.81873679222053819</v>
      </c>
      <c r="X20" s="73">
        <v>0.80570769345543536</v>
      </c>
    </row>
    <row r="21" spans="1:24" s="48" customFormat="1" x14ac:dyDescent="0.2">
      <c r="A21" s="49" t="s">
        <v>0</v>
      </c>
      <c r="B21" s="74">
        <v>0.83649867026065261</v>
      </c>
      <c r="C21" s="74">
        <v>0.77791492558727016</v>
      </c>
      <c r="D21" s="74">
        <v>0.86822930306541024</v>
      </c>
      <c r="E21" s="74">
        <v>0.78540994059897751</v>
      </c>
      <c r="F21" s="74">
        <v>0.8212098537748842</v>
      </c>
      <c r="G21" s="74">
        <v>0.80328978601443957</v>
      </c>
      <c r="H21" s="74">
        <v>0.80328495771076613</v>
      </c>
      <c r="I21" s="74">
        <v>0.80987444869433256</v>
      </c>
      <c r="J21" s="74">
        <v>0.85591431873225354</v>
      </c>
      <c r="K21" s="74">
        <v>0.93411492537470886</v>
      </c>
      <c r="L21" s="74">
        <v>0.85104453076249376</v>
      </c>
      <c r="M21" s="74">
        <v>0.82921972846802272</v>
      </c>
      <c r="N21" s="74">
        <v>0.94773880372917452</v>
      </c>
      <c r="O21" s="74">
        <v>0.94632163064915054</v>
      </c>
      <c r="P21" s="74">
        <v>1.0102609404201648</v>
      </c>
      <c r="Q21" s="74">
        <v>1.031307567445384</v>
      </c>
      <c r="R21" s="74">
        <v>0.99011853929560234</v>
      </c>
      <c r="S21" s="74">
        <v>1.082629032906099</v>
      </c>
      <c r="T21" s="74">
        <v>0.37412375142520593</v>
      </c>
      <c r="U21" s="74">
        <v>0.53186057355348082</v>
      </c>
      <c r="V21" s="74">
        <v>0.85420323823798217</v>
      </c>
      <c r="W21" s="74">
        <v>1.0501976923993039</v>
      </c>
      <c r="X21" s="74">
        <v>1.0644504474176468</v>
      </c>
    </row>
  </sheetData>
  <hyperlinks>
    <hyperlink ref="A2" location="Sommaire!A1" display="Retour au menu &quot;Exploitation des films&quot;" xr:uid="{00000000-0004-0000-1400-000000000000}"/>
  </hyperlinks>
  <pageMargins left="0.78740157499999996" right="0.78740157499999996" top="0.984251969" bottom="0.984251969" header="0.4921259845" footer="0.492125984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1"/>
  <sheetViews>
    <sheetView workbookViewId="0"/>
  </sheetViews>
  <sheetFormatPr baseColWidth="10" defaultColWidth="5.5703125" defaultRowHeight="12" x14ac:dyDescent="0.2"/>
  <cols>
    <col min="1" max="1" width="30.85546875" style="46" customWidth="1"/>
    <col min="2" max="4" width="5" style="46" bestFit="1" customWidth="1"/>
    <col min="5" max="18" width="5" style="47" bestFit="1" customWidth="1"/>
    <col min="19" max="19" width="5" style="46" bestFit="1" customWidth="1"/>
    <col min="20" max="16384" width="5.5703125" style="46"/>
  </cols>
  <sheetData>
    <row r="1" spans="1:24" s="36" customFormat="1" ht="12.75" x14ac:dyDescent="0.2">
      <c r="D1" s="37"/>
      <c r="E1" s="37"/>
      <c r="F1" s="37"/>
      <c r="G1" s="37"/>
      <c r="H1" s="37"/>
      <c r="I1" s="37"/>
      <c r="J1" s="37"/>
      <c r="K1" s="37"/>
      <c r="L1" s="37"/>
      <c r="M1" s="37"/>
      <c r="N1" s="37"/>
      <c r="O1" s="37"/>
      <c r="P1" s="37"/>
      <c r="Q1" s="37"/>
      <c r="R1" s="37"/>
      <c r="S1" s="37"/>
      <c r="T1" s="37"/>
      <c r="U1" s="37"/>
      <c r="V1" s="37"/>
      <c r="W1" s="37"/>
      <c r="X1" s="37"/>
    </row>
    <row r="2" spans="1:24" s="40" customFormat="1" ht="12.75" x14ac:dyDescent="0.2">
      <c r="A2" s="38" t="s">
        <v>32</v>
      </c>
      <c r="B2" s="38"/>
      <c r="C2" s="38"/>
      <c r="D2" s="39"/>
      <c r="E2" s="39"/>
      <c r="F2" s="39"/>
      <c r="G2" s="39"/>
      <c r="H2" s="39"/>
      <c r="I2" s="39"/>
      <c r="J2" s="39"/>
      <c r="K2" s="39"/>
      <c r="L2" s="39"/>
      <c r="M2" s="39"/>
      <c r="N2" s="39"/>
      <c r="O2" s="39"/>
      <c r="P2" s="39"/>
      <c r="Q2" s="39"/>
      <c r="R2" s="39"/>
      <c r="S2" s="39"/>
      <c r="T2" s="39"/>
      <c r="U2" s="39"/>
      <c r="V2" s="39"/>
      <c r="W2" s="39"/>
      <c r="X2" s="39"/>
    </row>
    <row r="3" spans="1:24" s="36" customFormat="1" ht="12.75" x14ac:dyDescent="0.2">
      <c r="D3" s="37"/>
      <c r="E3" s="37"/>
      <c r="F3" s="37"/>
      <c r="G3" s="37"/>
      <c r="H3" s="37"/>
      <c r="I3" s="37"/>
      <c r="J3" s="37"/>
      <c r="K3" s="37"/>
      <c r="L3" s="37"/>
      <c r="M3" s="37"/>
      <c r="N3" s="37"/>
      <c r="O3" s="37"/>
      <c r="P3" s="37"/>
      <c r="Q3" s="37"/>
      <c r="R3" s="37"/>
      <c r="S3" s="37"/>
      <c r="T3" s="37"/>
      <c r="U3" s="37"/>
      <c r="V3" s="37"/>
      <c r="W3" s="37"/>
      <c r="X3" s="37"/>
    </row>
    <row r="4" spans="1:24" s="36" customFormat="1" ht="12.75" x14ac:dyDescent="0.2">
      <c r="D4" s="37"/>
      <c r="E4" s="37"/>
      <c r="F4" s="37"/>
      <c r="G4" s="37"/>
      <c r="H4" s="37"/>
      <c r="I4" s="37"/>
      <c r="J4" s="37"/>
      <c r="K4" s="37"/>
      <c r="L4" s="37"/>
      <c r="M4" s="37"/>
      <c r="N4" s="37"/>
      <c r="O4" s="37"/>
      <c r="P4" s="37"/>
      <c r="Q4" s="37"/>
      <c r="R4" s="37"/>
      <c r="S4" s="37"/>
      <c r="T4" s="37"/>
      <c r="U4" s="37"/>
      <c r="V4" s="37"/>
      <c r="W4" s="37"/>
      <c r="X4" s="37"/>
    </row>
    <row r="5" spans="1:24" ht="12.75" x14ac:dyDescent="0.2">
      <c r="A5" s="45" t="s">
        <v>47</v>
      </c>
      <c r="B5" s="45"/>
      <c r="C5" s="45"/>
    </row>
    <row r="6" spans="1:24" ht="3" customHeight="1" x14ac:dyDescent="0.2"/>
    <row r="7" spans="1:24" s="48" customFormat="1" x14ac:dyDescent="0.2">
      <c r="A7" s="5"/>
      <c r="B7" s="12">
        <v>2002</v>
      </c>
      <c r="C7" s="12">
        <v>2003</v>
      </c>
      <c r="D7" s="12">
        <v>2004</v>
      </c>
      <c r="E7" s="12">
        <v>2005</v>
      </c>
      <c r="F7" s="12">
        <v>2006</v>
      </c>
      <c r="G7" s="12">
        <v>2007</v>
      </c>
      <c r="H7" s="12">
        <v>2008</v>
      </c>
      <c r="I7" s="12">
        <v>2009</v>
      </c>
      <c r="J7" s="12">
        <v>2010</v>
      </c>
      <c r="K7" s="12">
        <v>2011</v>
      </c>
      <c r="L7" s="12">
        <v>2012</v>
      </c>
      <c r="M7" s="12">
        <v>2013</v>
      </c>
      <c r="N7" s="12">
        <v>2014</v>
      </c>
      <c r="O7" s="12">
        <v>2015</v>
      </c>
      <c r="P7" s="12">
        <v>2016</v>
      </c>
      <c r="Q7" s="12">
        <v>2017</v>
      </c>
      <c r="R7" s="12">
        <v>2018</v>
      </c>
      <c r="S7" s="12">
        <v>2019</v>
      </c>
      <c r="T7" s="12">
        <v>2020</v>
      </c>
      <c r="U7" s="12">
        <v>2021</v>
      </c>
      <c r="V7" s="12">
        <v>2022</v>
      </c>
      <c r="W7" s="12">
        <v>2023</v>
      </c>
      <c r="X7" s="12">
        <v>2024</v>
      </c>
    </row>
    <row r="8" spans="1:24" x14ac:dyDescent="0.2">
      <c r="A8" s="7" t="s">
        <v>72</v>
      </c>
      <c r="B8" s="75">
        <v>17.430645146496083</v>
      </c>
      <c r="C8" s="75">
        <v>15.964701234035129</v>
      </c>
      <c r="D8" s="75">
        <v>18.353813617727106</v>
      </c>
      <c r="E8" s="75">
        <v>16.048051245462066</v>
      </c>
      <c r="F8" s="75">
        <v>17.067428685577209</v>
      </c>
      <c r="G8" s="75">
        <v>16.37470204372126</v>
      </c>
      <c r="H8" s="75">
        <v>15.722566569780133</v>
      </c>
      <c r="I8" s="75">
        <v>15.829398285247171</v>
      </c>
      <c r="J8" s="75">
        <v>15.869674200513145</v>
      </c>
      <c r="K8" s="75">
        <v>16.351763776874684</v>
      </c>
      <c r="L8" s="75">
        <v>14.232493402795116</v>
      </c>
      <c r="M8" s="75">
        <v>13.915412393067569</v>
      </c>
      <c r="N8" s="75">
        <v>14.924634266911276</v>
      </c>
      <c r="O8" s="75">
        <v>14.528877507655155</v>
      </c>
      <c r="P8" s="75">
        <v>14.98941558246289</v>
      </c>
      <c r="Q8" s="75">
        <v>14.677489437936675</v>
      </c>
      <c r="R8" s="75">
        <v>14.317312168254103</v>
      </c>
      <c r="S8" s="75">
        <v>15.18619885171813</v>
      </c>
      <c r="T8" s="75">
        <v>9.853802746415667</v>
      </c>
      <c r="U8" s="75">
        <v>11.378048537969388</v>
      </c>
      <c r="V8" s="75">
        <v>11.247554763357922</v>
      </c>
      <c r="W8" s="75">
        <v>13.988220619127977</v>
      </c>
      <c r="X8" s="75">
        <v>14.139554418464112</v>
      </c>
    </row>
    <row r="9" spans="1:24" x14ac:dyDescent="0.2">
      <c r="A9" s="7" t="s">
        <v>73</v>
      </c>
      <c r="B9" s="75">
        <v>15.283398290337628</v>
      </c>
      <c r="C9" s="75">
        <v>13.169407162665788</v>
      </c>
      <c r="D9" s="75">
        <v>14.948608100435425</v>
      </c>
      <c r="E9" s="75">
        <v>11.93825249768571</v>
      </c>
      <c r="F9" s="75">
        <v>13.222684440767454</v>
      </c>
      <c r="G9" s="75">
        <v>12.085121880529623</v>
      </c>
      <c r="H9" s="75">
        <v>12.015162187152598</v>
      </c>
      <c r="I9" s="75">
        <v>12.331706724505912</v>
      </c>
      <c r="J9" s="75">
        <v>12.253152860187104</v>
      </c>
      <c r="K9" s="75">
        <v>12.710068242215474</v>
      </c>
      <c r="L9" s="75">
        <v>11.198098942866185</v>
      </c>
      <c r="M9" s="75">
        <v>10.212496621213054</v>
      </c>
      <c r="N9" s="75">
        <v>11.579113897497997</v>
      </c>
      <c r="O9" s="75">
        <v>11.544452605681348</v>
      </c>
      <c r="P9" s="75">
        <v>12.020438458572778</v>
      </c>
      <c r="Q9" s="75">
        <v>11.673803018002282</v>
      </c>
      <c r="R9" s="75">
        <v>10.611008089522816</v>
      </c>
      <c r="S9" s="75">
        <v>10.855750901478929</v>
      </c>
      <c r="T9" s="75">
        <v>6.9749285885465806</v>
      </c>
      <c r="U9" s="75">
        <v>8.6300088675901456</v>
      </c>
      <c r="V9" s="75">
        <v>8.2166856072694525</v>
      </c>
      <c r="W9" s="75">
        <v>10.41598541190052</v>
      </c>
      <c r="X9" s="75">
        <v>10.506743385292593</v>
      </c>
    </row>
    <row r="10" spans="1:24" x14ac:dyDescent="0.2">
      <c r="A10" s="7" t="s">
        <v>1</v>
      </c>
      <c r="B10" s="75">
        <v>17.968240841498289</v>
      </c>
      <c r="C10" s="75">
        <v>16.278052515744598</v>
      </c>
      <c r="D10" s="75">
        <v>19.941144019167655</v>
      </c>
      <c r="E10" s="75">
        <v>17.950035928394971</v>
      </c>
      <c r="F10" s="75">
        <v>18.597068799398773</v>
      </c>
      <c r="G10" s="75">
        <v>16.972488601083796</v>
      </c>
      <c r="H10" s="75">
        <v>16.826997619890204</v>
      </c>
      <c r="I10" s="75">
        <v>16.603684334323816</v>
      </c>
      <c r="J10" s="75">
        <v>16.664719566157974</v>
      </c>
      <c r="K10" s="75">
        <v>17.662156573440907</v>
      </c>
      <c r="L10" s="75">
        <v>16.448157349806149</v>
      </c>
      <c r="M10" s="75">
        <v>14.911976674124459</v>
      </c>
      <c r="N10" s="75">
        <v>16.036106299951001</v>
      </c>
      <c r="O10" s="75">
        <v>15.471102753287965</v>
      </c>
      <c r="P10" s="75">
        <v>15.974539321201551</v>
      </c>
      <c r="Q10" s="75">
        <v>15.493066871468081</v>
      </c>
      <c r="R10" s="75">
        <v>14.401528652295974</v>
      </c>
      <c r="S10" s="75">
        <v>15.339852023767788</v>
      </c>
      <c r="T10" s="75">
        <v>10.27758917787342</v>
      </c>
      <c r="U10" s="75">
        <v>11.404673739469128</v>
      </c>
      <c r="V10" s="75">
        <v>11.213411163611127</v>
      </c>
      <c r="W10" s="75">
        <v>14.604823479934002</v>
      </c>
      <c r="X10" s="75">
        <v>14.698833035422453</v>
      </c>
    </row>
    <row r="11" spans="1:24" x14ac:dyDescent="0.2">
      <c r="A11" s="7" t="s">
        <v>74</v>
      </c>
      <c r="B11" s="75">
        <v>13.931010230165933</v>
      </c>
      <c r="C11" s="75">
        <v>12.824372731923695</v>
      </c>
      <c r="D11" s="75">
        <v>15.4238070832804</v>
      </c>
      <c r="E11" s="75">
        <v>13.527614448626618</v>
      </c>
      <c r="F11" s="75">
        <v>14.144846369196829</v>
      </c>
      <c r="G11" s="75">
        <v>13.737256367853176</v>
      </c>
      <c r="H11" s="75">
        <v>13.682498395443274</v>
      </c>
      <c r="I11" s="75">
        <v>14.923082803993879</v>
      </c>
      <c r="J11" s="75">
        <v>14.558422673001866</v>
      </c>
      <c r="K11" s="75">
        <v>15.643081699488089</v>
      </c>
      <c r="L11" s="75">
        <v>14.59730570013488</v>
      </c>
      <c r="M11" s="75">
        <v>13.84086556814991</v>
      </c>
      <c r="N11" s="75">
        <v>14.944975823459883</v>
      </c>
      <c r="O11" s="75">
        <v>14.379995952057472</v>
      </c>
      <c r="P11" s="75">
        <v>15.10436374905245</v>
      </c>
      <c r="Q11" s="75">
        <v>15.129497851593236</v>
      </c>
      <c r="R11" s="75">
        <v>13.2802970992394</v>
      </c>
      <c r="S11" s="75">
        <v>14.211221528076825</v>
      </c>
      <c r="T11" s="75">
        <v>8.7101278782548626</v>
      </c>
      <c r="U11" s="75">
        <v>10.264772233073433</v>
      </c>
      <c r="V11" s="75">
        <v>10.33149254102473</v>
      </c>
      <c r="W11" s="75">
        <v>12.282106762456293</v>
      </c>
      <c r="X11" s="75">
        <v>12.289767293663683</v>
      </c>
    </row>
    <row r="12" spans="1:24" x14ac:dyDescent="0.2">
      <c r="A12" s="7" t="s">
        <v>5</v>
      </c>
      <c r="B12" s="75">
        <v>15.94788330063639</v>
      </c>
      <c r="C12" s="75">
        <v>13.923867813727121</v>
      </c>
      <c r="D12" s="75">
        <v>16.994244539686065</v>
      </c>
      <c r="E12" s="75">
        <v>14.0138174572051</v>
      </c>
      <c r="F12" s="75">
        <v>15.058043506044349</v>
      </c>
      <c r="G12" s="75">
        <v>14.962606336812117</v>
      </c>
      <c r="H12" s="75">
        <v>12.920486671473864</v>
      </c>
      <c r="I12" s="75">
        <v>16.130968050566551</v>
      </c>
      <c r="J12" s="75">
        <v>19.970900989480025</v>
      </c>
      <c r="K12" s="75">
        <v>17.166025384944248</v>
      </c>
      <c r="L12" s="75">
        <v>17.355451003430858</v>
      </c>
      <c r="M12" s="75">
        <v>15.393058943403219</v>
      </c>
      <c r="N12" s="75">
        <v>15.556498762885404</v>
      </c>
      <c r="O12" s="75">
        <v>14.456117846361918</v>
      </c>
      <c r="P12" s="75">
        <v>12.309602986087546</v>
      </c>
      <c r="Q12" s="75">
        <v>17.565133869612197</v>
      </c>
      <c r="R12" s="75">
        <v>15.965624863133559</v>
      </c>
      <c r="S12" s="75">
        <v>15.916110065781455</v>
      </c>
      <c r="T12" s="75">
        <v>9.0146260145057653</v>
      </c>
      <c r="U12" s="75">
        <v>11.619458600250717</v>
      </c>
      <c r="V12" s="75">
        <v>10.827717726996227</v>
      </c>
      <c r="W12" s="75">
        <v>13.215917964800278</v>
      </c>
      <c r="X12" s="75">
        <v>13.786716663825919</v>
      </c>
    </row>
    <row r="13" spans="1:24" x14ac:dyDescent="0.2">
      <c r="A13" s="7" t="s">
        <v>77</v>
      </c>
      <c r="B13" s="75">
        <v>14.608193241553776</v>
      </c>
      <c r="C13" s="75">
        <v>13.314666162803611</v>
      </c>
      <c r="D13" s="75">
        <v>14.799920945373998</v>
      </c>
      <c r="E13" s="75">
        <v>12.609317345508106</v>
      </c>
      <c r="F13" s="75">
        <v>12.884594221542232</v>
      </c>
      <c r="G13" s="75">
        <v>12.077002534545525</v>
      </c>
      <c r="H13" s="75">
        <v>12.703256473755262</v>
      </c>
      <c r="I13" s="75">
        <v>12.927094692549407</v>
      </c>
      <c r="J13" s="75">
        <v>12.684992512614041</v>
      </c>
      <c r="K13" s="75">
        <v>13.402819944835478</v>
      </c>
      <c r="L13" s="75">
        <v>11.72891156936223</v>
      </c>
      <c r="M13" s="75">
        <v>11.581970046370758</v>
      </c>
      <c r="N13" s="75">
        <v>12.714679807948182</v>
      </c>
      <c r="O13" s="75">
        <v>12.869788349486647</v>
      </c>
      <c r="P13" s="75">
        <v>13.111397593214805</v>
      </c>
      <c r="Q13" s="75">
        <v>12.809588573518809</v>
      </c>
      <c r="R13" s="75">
        <v>12.355768395887662</v>
      </c>
      <c r="S13" s="75">
        <v>12.953427250050161</v>
      </c>
      <c r="T13" s="75">
        <v>8.0698959999416378</v>
      </c>
      <c r="U13" s="75">
        <v>9.5463881446776657</v>
      </c>
      <c r="V13" s="75">
        <v>9.0022253279234512</v>
      </c>
      <c r="W13" s="75">
        <v>10.933849606132364</v>
      </c>
      <c r="X13" s="75">
        <v>10.693671570822252</v>
      </c>
    </row>
    <row r="14" spans="1:24" x14ac:dyDescent="0.2">
      <c r="A14" s="7" t="s">
        <v>78</v>
      </c>
      <c r="B14" s="75">
        <v>14.382698568035252</v>
      </c>
      <c r="C14" s="75">
        <v>13.791467865240255</v>
      </c>
      <c r="D14" s="75">
        <v>14.975146512290241</v>
      </c>
      <c r="E14" s="75">
        <v>13.649277690695651</v>
      </c>
      <c r="F14" s="75">
        <v>13.827949129954764</v>
      </c>
      <c r="G14" s="75">
        <v>12.211334979564917</v>
      </c>
      <c r="H14" s="75">
        <v>13.565947447195647</v>
      </c>
      <c r="I14" s="75">
        <v>13.453221633734657</v>
      </c>
      <c r="J14" s="75">
        <v>13.383452475802041</v>
      </c>
      <c r="K14" s="75">
        <v>14.507474649297144</v>
      </c>
      <c r="L14" s="75">
        <v>13.415698683612437</v>
      </c>
      <c r="M14" s="75">
        <v>12.548222468145761</v>
      </c>
      <c r="N14" s="75">
        <v>14.065973698549985</v>
      </c>
      <c r="O14" s="75">
        <v>13.49806255279826</v>
      </c>
      <c r="P14" s="75">
        <v>13.891394972623194</v>
      </c>
      <c r="Q14" s="75">
        <v>14.012744452497309</v>
      </c>
      <c r="R14" s="75">
        <v>12.821550787602048</v>
      </c>
      <c r="S14" s="75">
        <v>13.349013985224753</v>
      </c>
      <c r="T14" s="75">
        <v>8.0537659975166349</v>
      </c>
      <c r="U14" s="75">
        <v>9.8174944275193834</v>
      </c>
      <c r="V14" s="75">
        <v>9.5084796776846918</v>
      </c>
      <c r="W14" s="75">
        <v>12.317499246702155</v>
      </c>
      <c r="X14" s="75">
        <v>12.186381318955339</v>
      </c>
    </row>
    <row r="15" spans="1:24" x14ac:dyDescent="0.2">
      <c r="A15" s="7" t="s">
        <v>2</v>
      </c>
      <c r="B15" s="75">
        <v>17.00972776911475</v>
      </c>
      <c r="C15" s="75">
        <v>15.89988354572858</v>
      </c>
      <c r="D15" s="75">
        <v>17.503248263919016</v>
      </c>
      <c r="E15" s="75">
        <v>16.320257342481227</v>
      </c>
      <c r="F15" s="75">
        <v>16.77989112728843</v>
      </c>
      <c r="G15" s="75">
        <v>15.561012207495031</v>
      </c>
      <c r="H15" s="75">
        <v>15.361582045094369</v>
      </c>
      <c r="I15" s="75">
        <v>15.562059662314942</v>
      </c>
      <c r="J15" s="75">
        <v>15.329486882608842</v>
      </c>
      <c r="K15" s="75">
        <v>15.754111447952084</v>
      </c>
      <c r="L15" s="75">
        <v>14.960351884832745</v>
      </c>
      <c r="M15" s="75">
        <v>14.505781973821447</v>
      </c>
      <c r="N15" s="75">
        <v>14.768708045162567</v>
      </c>
      <c r="O15" s="75">
        <v>13.151830680000495</v>
      </c>
      <c r="P15" s="75">
        <v>14.400721082044166</v>
      </c>
      <c r="Q15" s="75">
        <v>13.68500320201546</v>
      </c>
      <c r="R15" s="75">
        <v>12.979716241284201</v>
      </c>
      <c r="S15" s="75">
        <v>14.319218623213075</v>
      </c>
      <c r="T15" s="75">
        <v>10.182970347567176</v>
      </c>
      <c r="U15" s="75">
        <v>10.680494220805869</v>
      </c>
      <c r="V15" s="75">
        <v>11.016067959713901</v>
      </c>
      <c r="W15" s="75">
        <v>12.929829877588892</v>
      </c>
      <c r="X15" s="75">
        <v>13.014122004684886</v>
      </c>
    </row>
    <row r="16" spans="1:24" x14ac:dyDescent="0.2">
      <c r="A16" s="7" t="s">
        <v>75</v>
      </c>
      <c r="B16" s="75">
        <v>12.486684994144765</v>
      </c>
      <c r="C16" s="75">
        <v>13.175411365590344</v>
      </c>
      <c r="D16" s="75">
        <v>13.923700121357088</v>
      </c>
      <c r="E16" s="75">
        <v>13.035542425970403</v>
      </c>
      <c r="F16" s="75">
        <v>14.246457998044825</v>
      </c>
      <c r="G16" s="75">
        <v>12.832397652489583</v>
      </c>
      <c r="H16" s="75">
        <v>13.293339286041489</v>
      </c>
      <c r="I16" s="75">
        <v>13.013319401443768</v>
      </c>
      <c r="J16" s="75">
        <v>12.983587333984062</v>
      </c>
      <c r="K16" s="75">
        <v>13.911857249005632</v>
      </c>
      <c r="L16" s="75">
        <v>12.404884655325574</v>
      </c>
      <c r="M16" s="75">
        <v>11.394077697236495</v>
      </c>
      <c r="N16" s="75">
        <v>12.600756057301185</v>
      </c>
      <c r="O16" s="75">
        <v>12.148184877970106</v>
      </c>
      <c r="P16" s="75">
        <v>13.137926924127177</v>
      </c>
      <c r="Q16" s="75">
        <v>12.103986043298919</v>
      </c>
      <c r="R16" s="75">
        <v>11.633454810124039</v>
      </c>
      <c r="S16" s="75">
        <v>12.314359723981436</v>
      </c>
      <c r="T16" s="75">
        <v>8.4914432866415694</v>
      </c>
      <c r="U16" s="75">
        <v>10.463832702457076</v>
      </c>
      <c r="V16" s="75">
        <v>9.8098409312272068</v>
      </c>
      <c r="W16" s="75">
        <v>12.365065025119835</v>
      </c>
      <c r="X16" s="75">
        <v>12.462729412955978</v>
      </c>
    </row>
    <row r="17" spans="1:24" x14ac:dyDescent="0.2">
      <c r="A17" s="7" t="s">
        <v>79</v>
      </c>
      <c r="B17" s="75">
        <v>15.9009532758835</v>
      </c>
      <c r="C17" s="75">
        <v>13.639723085209992</v>
      </c>
      <c r="D17" s="75">
        <v>15.206914533867561</v>
      </c>
      <c r="E17" s="75">
        <v>13.270123879441229</v>
      </c>
      <c r="F17" s="75">
        <v>14.596720958961795</v>
      </c>
      <c r="G17" s="75">
        <v>13.525638434689247</v>
      </c>
      <c r="H17" s="75">
        <v>13.318513840001803</v>
      </c>
      <c r="I17" s="75">
        <v>13.812638838841554</v>
      </c>
      <c r="J17" s="75">
        <v>14.085718248479468</v>
      </c>
      <c r="K17" s="75">
        <v>14.951766551330692</v>
      </c>
      <c r="L17" s="75">
        <v>13.303130061734278</v>
      </c>
      <c r="M17" s="75">
        <v>12.211843332250034</v>
      </c>
      <c r="N17" s="75">
        <v>12.993376171442902</v>
      </c>
      <c r="O17" s="75">
        <v>12.438338103616774</v>
      </c>
      <c r="P17" s="75">
        <v>13.068270013144776</v>
      </c>
      <c r="Q17" s="75">
        <v>12.318004761920104</v>
      </c>
      <c r="R17" s="75">
        <v>12.148910585194722</v>
      </c>
      <c r="S17" s="75">
        <v>12.579614681415292</v>
      </c>
      <c r="T17" s="75">
        <v>8.1769217728961703</v>
      </c>
      <c r="U17" s="75">
        <v>9.8381489571743828</v>
      </c>
      <c r="V17" s="75">
        <v>9.6507695143637822</v>
      </c>
      <c r="W17" s="75">
        <v>11.562190378157903</v>
      </c>
      <c r="X17" s="75">
        <v>12.001049879136898</v>
      </c>
    </row>
    <row r="18" spans="1:24" x14ac:dyDescent="0.2">
      <c r="A18" s="7" t="s">
        <v>80</v>
      </c>
      <c r="B18" s="75">
        <v>17.594401274307451</v>
      </c>
      <c r="C18" s="75">
        <v>16.432563024982656</v>
      </c>
      <c r="D18" s="75">
        <v>17.07741445132185</v>
      </c>
      <c r="E18" s="75">
        <v>16.722651015965962</v>
      </c>
      <c r="F18" s="75">
        <v>17.13121833182506</v>
      </c>
      <c r="G18" s="75">
        <v>16.512099803925846</v>
      </c>
      <c r="H18" s="75">
        <v>16.132428308609079</v>
      </c>
      <c r="I18" s="75">
        <v>16.255750845341797</v>
      </c>
      <c r="J18" s="75">
        <v>16.258608232574019</v>
      </c>
      <c r="K18" s="75">
        <v>17.152827000711486</v>
      </c>
      <c r="L18" s="75">
        <v>15.255299181313609</v>
      </c>
      <c r="M18" s="75">
        <v>14.671982455000645</v>
      </c>
      <c r="N18" s="75">
        <v>15.121044160772087</v>
      </c>
      <c r="O18" s="75">
        <v>15.002763230827354</v>
      </c>
      <c r="P18" s="75">
        <v>15.77194479364935</v>
      </c>
      <c r="Q18" s="75">
        <v>14.992547883924384</v>
      </c>
      <c r="R18" s="75">
        <v>14.299845835751638</v>
      </c>
      <c r="S18" s="75">
        <v>14.452538231010955</v>
      </c>
      <c r="T18" s="75">
        <v>9.5746988818742658</v>
      </c>
      <c r="U18" s="75">
        <v>10.426266961361652</v>
      </c>
      <c r="V18" s="75">
        <v>11.199996389134983</v>
      </c>
      <c r="W18" s="75">
        <v>13.506487694225253</v>
      </c>
      <c r="X18" s="75">
        <v>13.727897360177016</v>
      </c>
    </row>
    <row r="19" spans="1:24" x14ac:dyDescent="0.2">
      <c r="A19" s="7" t="s">
        <v>3</v>
      </c>
      <c r="B19" s="75">
        <v>14.601749337173484</v>
      </c>
      <c r="C19" s="75">
        <v>14.34143873276113</v>
      </c>
      <c r="D19" s="75">
        <v>16.907543331111384</v>
      </c>
      <c r="E19" s="75">
        <v>16.172526587145398</v>
      </c>
      <c r="F19" s="75">
        <v>18.117836481090073</v>
      </c>
      <c r="G19" s="75">
        <v>16.901433113171784</v>
      </c>
      <c r="H19" s="75">
        <v>17.258981000452618</v>
      </c>
      <c r="I19" s="75">
        <v>17.636880629888029</v>
      </c>
      <c r="J19" s="75">
        <v>17.133550224437688</v>
      </c>
      <c r="K19" s="75">
        <v>18.15640316090353</v>
      </c>
      <c r="L19" s="75">
        <v>16.158433474322567</v>
      </c>
      <c r="M19" s="75">
        <v>14.966831083299152</v>
      </c>
      <c r="N19" s="75">
        <v>16.213979918626386</v>
      </c>
      <c r="O19" s="75">
        <v>15.898832606178553</v>
      </c>
      <c r="P19" s="75">
        <v>16.814978543690717</v>
      </c>
      <c r="Q19" s="75">
        <v>16.952911521406978</v>
      </c>
      <c r="R19" s="75">
        <v>15.93168032715224</v>
      </c>
      <c r="S19" s="75">
        <v>17.14210767266847</v>
      </c>
      <c r="T19" s="75">
        <v>11.116296031097697</v>
      </c>
      <c r="U19" s="75">
        <v>12.897854618801638</v>
      </c>
      <c r="V19" s="75">
        <v>12.8980340438591</v>
      </c>
      <c r="W19" s="75">
        <v>15.558156819241356</v>
      </c>
      <c r="X19" s="75">
        <v>16.129723887307659</v>
      </c>
    </row>
    <row r="20" spans="1:24" x14ac:dyDescent="0.2">
      <c r="A20" s="7" t="s">
        <v>4</v>
      </c>
      <c r="B20" s="75">
        <v>17.586674667875581</v>
      </c>
      <c r="C20" s="75">
        <v>16.777033108109187</v>
      </c>
      <c r="D20" s="75">
        <v>18.634815920486815</v>
      </c>
      <c r="E20" s="75">
        <v>17.060398608625402</v>
      </c>
      <c r="F20" s="75">
        <v>17.718079808314297</v>
      </c>
      <c r="G20" s="75">
        <v>16.222409335539449</v>
      </c>
      <c r="H20" s="75">
        <v>16.418173436936602</v>
      </c>
      <c r="I20" s="75">
        <v>16.714442310614302</v>
      </c>
      <c r="J20" s="75">
        <v>17.299565413733038</v>
      </c>
      <c r="K20" s="75">
        <v>17.264520594011</v>
      </c>
      <c r="L20" s="75">
        <v>15.353492027377808</v>
      </c>
      <c r="M20" s="75">
        <v>14.595952807646356</v>
      </c>
      <c r="N20" s="75">
        <v>15.220844276366973</v>
      </c>
      <c r="O20" s="75">
        <v>14.024477252419837</v>
      </c>
      <c r="P20" s="75">
        <v>14.674780832599771</v>
      </c>
      <c r="Q20" s="75">
        <v>13.715550643016815</v>
      </c>
      <c r="R20" s="75">
        <v>13.38137970071287</v>
      </c>
      <c r="S20" s="75">
        <v>14.164995779473188</v>
      </c>
      <c r="T20" s="75">
        <v>9.1587220323918128</v>
      </c>
      <c r="U20" s="75">
        <v>9.9206887049397494</v>
      </c>
      <c r="V20" s="75">
        <v>10.504747275488009</v>
      </c>
      <c r="W20" s="75">
        <v>12.882325770166711</v>
      </c>
      <c r="X20" s="75">
        <v>13.262046676791561</v>
      </c>
    </row>
    <row r="21" spans="1:24" s="48" customFormat="1" x14ac:dyDescent="0.2">
      <c r="A21" s="49" t="s">
        <v>0</v>
      </c>
      <c r="B21" s="76">
        <v>16.126314235875011</v>
      </c>
      <c r="C21" s="76">
        <v>14.920570534858763</v>
      </c>
      <c r="D21" s="76">
        <v>16.65878013928349</v>
      </c>
      <c r="E21" s="76">
        <v>14.980845303038738</v>
      </c>
      <c r="F21" s="76">
        <v>15.792115177390093</v>
      </c>
      <c r="G21" s="76">
        <v>14.628635394369525</v>
      </c>
      <c r="H21" s="76">
        <v>14.650205038068451</v>
      </c>
      <c r="I21" s="76">
        <v>14.903030139654238</v>
      </c>
      <c r="J21" s="76">
        <v>14.862067638053796</v>
      </c>
      <c r="K21" s="76">
        <v>15.568826739986694</v>
      </c>
      <c r="L21" s="76">
        <v>14.044614496268853</v>
      </c>
      <c r="M21" s="76">
        <v>13.335420261192763</v>
      </c>
      <c r="N21" s="76">
        <v>14.212006268041568</v>
      </c>
      <c r="O21" s="76">
        <v>13.630076779837871</v>
      </c>
      <c r="P21" s="76">
        <v>14.318041383759947</v>
      </c>
      <c r="Q21" s="76">
        <v>13.834235966047798</v>
      </c>
      <c r="R21" s="76">
        <v>13.184166589304317</v>
      </c>
      <c r="S21" s="76">
        <v>13.953772390156093</v>
      </c>
      <c r="T21" s="76">
        <v>9.118774728067164</v>
      </c>
      <c r="U21" s="76">
        <v>10.448581338985546</v>
      </c>
      <c r="V21" s="76">
        <v>10.426731300034429</v>
      </c>
      <c r="W21" s="76">
        <v>12.756557825997364</v>
      </c>
      <c r="X21" s="76">
        <v>12.93847699560828</v>
      </c>
    </row>
  </sheetData>
  <hyperlinks>
    <hyperlink ref="A2" location="Sommaire!A1" display="Retour au menu &quot;Exploitation des films&quot;" xr:uid="{00000000-0004-0000-1500-000000000000}"/>
  </hyperlinks>
  <pageMargins left="0.78740157499999996" right="0.78740157499999996" top="0.984251969" bottom="0.984251969" header="0.4921259845" footer="0.492125984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21"/>
  <sheetViews>
    <sheetView workbookViewId="0"/>
  </sheetViews>
  <sheetFormatPr baseColWidth="10" defaultColWidth="5.5703125" defaultRowHeight="12" x14ac:dyDescent="0.2"/>
  <cols>
    <col min="1" max="1" width="31.42578125" style="46" customWidth="1"/>
    <col min="2" max="2" width="5.42578125" style="46" bestFit="1" customWidth="1"/>
    <col min="3" max="16" width="5.42578125" style="47" bestFit="1" customWidth="1"/>
    <col min="17" max="17" width="5.4257812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83</v>
      </c>
    </row>
    <row r="6" spans="1:22" ht="3" customHeight="1" x14ac:dyDescent="0.2"/>
    <row r="7" spans="1:22" s="48" customFormat="1" x14ac:dyDescent="0.2">
      <c r="A7" s="14"/>
      <c r="B7" s="69" t="s">
        <v>37</v>
      </c>
      <c r="C7" s="69" t="s">
        <v>38</v>
      </c>
      <c r="D7" s="69" t="s">
        <v>39</v>
      </c>
      <c r="E7" s="69" t="s">
        <v>40</v>
      </c>
      <c r="F7" s="69" t="s">
        <v>41</v>
      </c>
      <c r="G7" s="69" t="s">
        <v>42</v>
      </c>
      <c r="H7" s="69" t="s">
        <v>43</v>
      </c>
      <c r="I7" s="77">
        <v>2011</v>
      </c>
      <c r="J7" s="69">
        <v>2012</v>
      </c>
      <c r="K7" s="77">
        <v>2013</v>
      </c>
      <c r="L7" s="69">
        <v>2014</v>
      </c>
      <c r="M7" s="77">
        <v>2015</v>
      </c>
      <c r="N7" s="69">
        <v>2016</v>
      </c>
      <c r="O7" s="77">
        <v>2017</v>
      </c>
      <c r="P7" s="77">
        <v>2018</v>
      </c>
      <c r="Q7" s="77">
        <v>2019</v>
      </c>
      <c r="R7" s="77">
        <v>2020</v>
      </c>
      <c r="S7" s="77">
        <v>2021</v>
      </c>
      <c r="T7" s="77">
        <v>2022</v>
      </c>
      <c r="U7" s="77">
        <v>2023</v>
      </c>
      <c r="V7" s="77">
        <v>2024</v>
      </c>
    </row>
    <row r="8" spans="1:22" x14ac:dyDescent="0.2">
      <c r="A8" s="7" t="s">
        <v>72</v>
      </c>
      <c r="B8" s="78">
        <v>258</v>
      </c>
      <c r="C8" s="78">
        <v>262</v>
      </c>
      <c r="D8" s="78">
        <v>263</v>
      </c>
      <c r="E8" s="78">
        <v>259</v>
      </c>
      <c r="F8" s="78">
        <v>268</v>
      </c>
      <c r="G8" s="78">
        <v>271</v>
      </c>
      <c r="H8" s="78">
        <v>266</v>
      </c>
      <c r="I8" s="78">
        <v>263</v>
      </c>
      <c r="J8" s="78">
        <v>253</v>
      </c>
      <c r="K8" s="78">
        <v>246</v>
      </c>
      <c r="L8" s="78">
        <v>237</v>
      </c>
      <c r="M8" s="78">
        <v>246</v>
      </c>
      <c r="N8" s="78">
        <v>242</v>
      </c>
      <c r="O8" s="78">
        <v>243</v>
      </c>
      <c r="P8" s="78">
        <v>246</v>
      </c>
      <c r="Q8" s="78">
        <v>241</v>
      </c>
      <c r="R8" s="78">
        <v>268</v>
      </c>
      <c r="S8" s="78">
        <v>255</v>
      </c>
      <c r="T8" s="78">
        <v>250</v>
      </c>
      <c r="U8" s="78">
        <v>243</v>
      </c>
      <c r="V8" s="78">
        <v>237</v>
      </c>
    </row>
    <row r="9" spans="1:22" x14ac:dyDescent="0.2">
      <c r="A9" s="7" t="s">
        <v>73</v>
      </c>
      <c r="B9" s="78">
        <v>73</v>
      </c>
      <c r="C9" s="78">
        <v>76</v>
      </c>
      <c r="D9" s="78">
        <v>71</v>
      </c>
      <c r="E9" s="78">
        <v>71</v>
      </c>
      <c r="F9" s="78">
        <v>74</v>
      </c>
      <c r="G9" s="78">
        <v>76</v>
      </c>
      <c r="H9" s="78">
        <v>71</v>
      </c>
      <c r="I9" s="78">
        <v>72</v>
      </c>
      <c r="J9" s="78">
        <v>74</v>
      </c>
      <c r="K9" s="78">
        <v>75</v>
      </c>
      <c r="L9" s="78">
        <v>72</v>
      </c>
      <c r="M9" s="78">
        <v>71</v>
      </c>
      <c r="N9" s="78">
        <v>70</v>
      </c>
      <c r="O9" s="78">
        <v>71</v>
      </c>
      <c r="P9" s="78">
        <v>72</v>
      </c>
      <c r="Q9" s="78">
        <v>72</v>
      </c>
      <c r="R9" s="78">
        <v>78</v>
      </c>
      <c r="S9" s="78">
        <v>74</v>
      </c>
      <c r="T9" s="78">
        <v>71</v>
      </c>
      <c r="U9" s="78">
        <v>70</v>
      </c>
      <c r="V9" s="78">
        <v>71</v>
      </c>
    </row>
    <row r="10" spans="1:22" x14ac:dyDescent="0.2">
      <c r="A10" s="7" t="s">
        <v>1</v>
      </c>
      <c r="B10" s="78">
        <v>103</v>
      </c>
      <c r="C10" s="78">
        <v>107</v>
      </c>
      <c r="D10" s="78">
        <v>102</v>
      </c>
      <c r="E10" s="78">
        <v>101</v>
      </c>
      <c r="F10" s="78">
        <v>96</v>
      </c>
      <c r="G10" s="78">
        <v>98</v>
      </c>
      <c r="H10" s="78">
        <v>95</v>
      </c>
      <c r="I10" s="78">
        <v>97</v>
      </c>
      <c r="J10" s="78">
        <v>94</v>
      </c>
      <c r="K10" s="78">
        <v>94</v>
      </c>
      <c r="L10" s="78">
        <v>93</v>
      </c>
      <c r="M10" s="78">
        <v>93</v>
      </c>
      <c r="N10" s="78">
        <v>93</v>
      </c>
      <c r="O10" s="78">
        <v>89</v>
      </c>
      <c r="P10" s="78">
        <v>89</v>
      </c>
      <c r="Q10" s="78">
        <v>90</v>
      </c>
      <c r="R10" s="78">
        <v>104</v>
      </c>
      <c r="S10" s="78">
        <v>98</v>
      </c>
      <c r="T10" s="78">
        <v>91</v>
      </c>
      <c r="U10" s="78">
        <v>87</v>
      </c>
      <c r="V10" s="78">
        <v>87</v>
      </c>
    </row>
    <row r="11" spans="1:22" x14ac:dyDescent="0.2">
      <c r="A11" s="7" t="s">
        <v>74</v>
      </c>
      <c r="B11" s="78">
        <v>50</v>
      </c>
      <c r="C11" s="78">
        <v>54</v>
      </c>
      <c r="D11" s="78">
        <v>53</v>
      </c>
      <c r="E11" s="78">
        <v>52</v>
      </c>
      <c r="F11" s="78">
        <v>55</v>
      </c>
      <c r="G11" s="78">
        <v>52</v>
      </c>
      <c r="H11" s="78">
        <v>53</v>
      </c>
      <c r="I11" s="78">
        <v>53</v>
      </c>
      <c r="J11" s="78">
        <v>54</v>
      </c>
      <c r="K11" s="78">
        <v>54</v>
      </c>
      <c r="L11" s="78">
        <v>51</v>
      </c>
      <c r="M11" s="78">
        <v>53</v>
      </c>
      <c r="N11" s="78">
        <v>53</v>
      </c>
      <c r="O11" s="78">
        <v>54</v>
      </c>
      <c r="P11" s="78">
        <v>55</v>
      </c>
      <c r="Q11" s="78">
        <v>55</v>
      </c>
      <c r="R11" s="78">
        <v>59</v>
      </c>
      <c r="S11" s="78">
        <v>60</v>
      </c>
      <c r="T11" s="78">
        <v>57</v>
      </c>
      <c r="U11" s="78">
        <v>58</v>
      </c>
      <c r="V11" s="78">
        <v>55</v>
      </c>
    </row>
    <row r="12" spans="1:22" x14ac:dyDescent="0.2">
      <c r="A12" s="7" t="s">
        <v>5</v>
      </c>
      <c r="B12" s="78">
        <v>16</v>
      </c>
      <c r="C12" s="78">
        <v>17</v>
      </c>
      <c r="D12" s="78">
        <v>17</v>
      </c>
      <c r="E12" s="78">
        <v>18</v>
      </c>
      <c r="F12" s="78">
        <v>18</v>
      </c>
      <c r="G12" s="78">
        <v>19</v>
      </c>
      <c r="H12" s="78">
        <v>19</v>
      </c>
      <c r="I12" s="78">
        <v>19</v>
      </c>
      <c r="J12" s="78">
        <v>19</v>
      </c>
      <c r="K12" s="78">
        <v>18</v>
      </c>
      <c r="L12" s="78">
        <v>12</v>
      </c>
      <c r="M12" s="78">
        <v>18</v>
      </c>
      <c r="N12" s="78">
        <v>20</v>
      </c>
      <c r="O12" s="78">
        <v>19</v>
      </c>
      <c r="P12" s="78">
        <v>17</v>
      </c>
      <c r="Q12" s="78">
        <v>18</v>
      </c>
      <c r="R12" s="78">
        <v>16</v>
      </c>
      <c r="S12" s="78">
        <v>17</v>
      </c>
      <c r="T12" s="78">
        <v>16</v>
      </c>
      <c r="U12" s="78">
        <v>17</v>
      </c>
      <c r="V12" s="78">
        <v>16</v>
      </c>
    </row>
    <row r="13" spans="1:22" x14ac:dyDescent="0.2">
      <c r="A13" s="7" t="s">
        <v>77</v>
      </c>
      <c r="B13" s="78">
        <v>84</v>
      </c>
      <c r="C13" s="78">
        <v>84</v>
      </c>
      <c r="D13" s="78">
        <v>79</v>
      </c>
      <c r="E13" s="78">
        <v>81</v>
      </c>
      <c r="F13" s="78">
        <v>77</v>
      </c>
      <c r="G13" s="78">
        <v>79</v>
      </c>
      <c r="H13" s="78">
        <v>79</v>
      </c>
      <c r="I13" s="78">
        <v>78</v>
      </c>
      <c r="J13" s="78">
        <v>78</v>
      </c>
      <c r="K13" s="78">
        <v>79</v>
      </c>
      <c r="L13" s="78">
        <v>80</v>
      </c>
      <c r="M13" s="78">
        <v>79</v>
      </c>
      <c r="N13" s="78">
        <v>80</v>
      </c>
      <c r="O13" s="78">
        <v>78</v>
      </c>
      <c r="P13" s="78">
        <v>81</v>
      </c>
      <c r="Q13" s="78">
        <v>77</v>
      </c>
      <c r="R13" s="78">
        <v>95</v>
      </c>
      <c r="S13" s="78">
        <v>90</v>
      </c>
      <c r="T13" s="78">
        <v>88</v>
      </c>
      <c r="U13" s="78">
        <v>84</v>
      </c>
      <c r="V13" s="78">
        <v>82</v>
      </c>
    </row>
    <row r="14" spans="1:22" x14ac:dyDescent="0.2">
      <c r="A14" s="7" t="s">
        <v>78</v>
      </c>
      <c r="B14" s="78">
        <v>94</v>
      </c>
      <c r="C14" s="78">
        <v>95</v>
      </c>
      <c r="D14" s="78">
        <v>90</v>
      </c>
      <c r="E14" s="78">
        <v>86</v>
      </c>
      <c r="F14" s="78">
        <v>86</v>
      </c>
      <c r="G14" s="78">
        <v>85</v>
      </c>
      <c r="H14" s="78">
        <v>81</v>
      </c>
      <c r="I14" s="78">
        <v>81</v>
      </c>
      <c r="J14" s="78">
        <v>81</v>
      </c>
      <c r="K14" s="78">
        <v>83</v>
      </c>
      <c r="L14" s="78">
        <v>80</v>
      </c>
      <c r="M14" s="78">
        <v>81</v>
      </c>
      <c r="N14" s="78">
        <v>81</v>
      </c>
      <c r="O14" s="78">
        <v>82</v>
      </c>
      <c r="P14" s="78">
        <v>81</v>
      </c>
      <c r="Q14" s="78">
        <v>82</v>
      </c>
      <c r="R14" s="78">
        <v>97</v>
      </c>
      <c r="S14" s="78">
        <v>95</v>
      </c>
      <c r="T14" s="78">
        <v>84</v>
      </c>
      <c r="U14" s="78">
        <v>83</v>
      </c>
      <c r="V14" s="78">
        <v>79</v>
      </c>
    </row>
    <row r="15" spans="1:22" x14ac:dyDescent="0.2">
      <c r="A15" s="7" t="s">
        <v>2</v>
      </c>
      <c r="B15" s="78">
        <v>166</v>
      </c>
      <c r="C15" s="78">
        <v>169</v>
      </c>
      <c r="D15" s="78">
        <v>169</v>
      </c>
      <c r="E15" s="78">
        <v>168</v>
      </c>
      <c r="F15" s="78">
        <v>172</v>
      </c>
      <c r="G15" s="78">
        <v>170</v>
      </c>
      <c r="H15" s="78">
        <v>168</v>
      </c>
      <c r="I15" s="78">
        <v>164</v>
      </c>
      <c r="J15" s="78">
        <v>176</v>
      </c>
      <c r="K15" s="78">
        <v>177</v>
      </c>
      <c r="L15" s="78">
        <v>170</v>
      </c>
      <c r="M15" s="78">
        <v>174</v>
      </c>
      <c r="N15" s="78">
        <v>166</v>
      </c>
      <c r="O15" s="78">
        <v>169</v>
      </c>
      <c r="P15" s="78">
        <v>168</v>
      </c>
      <c r="Q15" s="78">
        <v>163</v>
      </c>
      <c r="R15" s="78">
        <v>199</v>
      </c>
      <c r="S15" s="78">
        <v>193</v>
      </c>
      <c r="T15" s="78">
        <v>187</v>
      </c>
      <c r="U15" s="78">
        <v>176</v>
      </c>
      <c r="V15" s="78">
        <v>177</v>
      </c>
    </row>
    <row r="16" spans="1:22" x14ac:dyDescent="0.2">
      <c r="A16" s="7" t="s">
        <v>75</v>
      </c>
      <c r="B16" s="78">
        <v>73</v>
      </c>
      <c r="C16" s="78">
        <v>78</v>
      </c>
      <c r="D16" s="78">
        <v>77</v>
      </c>
      <c r="E16" s="78">
        <v>78</v>
      </c>
      <c r="F16" s="78">
        <v>79</v>
      </c>
      <c r="G16" s="78">
        <v>83</v>
      </c>
      <c r="H16" s="78">
        <v>80</v>
      </c>
      <c r="I16" s="78">
        <v>75</v>
      </c>
      <c r="J16" s="78">
        <v>81</v>
      </c>
      <c r="K16" s="78">
        <v>78</v>
      </c>
      <c r="L16" s="78">
        <v>77</v>
      </c>
      <c r="M16" s="78">
        <v>77</v>
      </c>
      <c r="N16" s="78">
        <v>73</v>
      </c>
      <c r="O16" s="78">
        <v>74</v>
      </c>
      <c r="P16" s="78">
        <v>75</v>
      </c>
      <c r="Q16" s="78">
        <v>73</v>
      </c>
      <c r="R16" s="78">
        <v>91</v>
      </c>
      <c r="S16" s="78">
        <v>88</v>
      </c>
      <c r="T16" s="78">
        <v>82</v>
      </c>
      <c r="U16" s="78">
        <v>79</v>
      </c>
      <c r="V16" s="78">
        <v>75</v>
      </c>
    </row>
    <row r="17" spans="1:22" x14ac:dyDescent="0.2">
      <c r="A17" s="7" t="s">
        <v>79</v>
      </c>
      <c r="B17" s="78">
        <v>192</v>
      </c>
      <c r="C17" s="78">
        <v>193</v>
      </c>
      <c r="D17" s="78">
        <v>187</v>
      </c>
      <c r="E17" s="78">
        <v>189</v>
      </c>
      <c r="F17" s="78">
        <v>188</v>
      </c>
      <c r="G17" s="78">
        <v>187</v>
      </c>
      <c r="H17" s="78">
        <v>184</v>
      </c>
      <c r="I17" s="78">
        <v>179</v>
      </c>
      <c r="J17" s="78">
        <v>180</v>
      </c>
      <c r="K17" s="78">
        <v>174</v>
      </c>
      <c r="L17" s="78">
        <v>174</v>
      </c>
      <c r="M17" s="78">
        <v>176</v>
      </c>
      <c r="N17" s="78">
        <v>177</v>
      </c>
      <c r="O17" s="78">
        <v>178</v>
      </c>
      <c r="P17" s="78">
        <v>178</v>
      </c>
      <c r="Q17" s="78">
        <v>175</v>
      </c>
      <c r="R17" s="78">
        <v>201</v>
      </c>
      <c r="S17" s="78">
        <v>180</v>
      </c>
      <c r="T17" s="78">
        <v>178</v>
      </c>
      <c r="U17" s="78">
        <v>171</v>
      </c>
      <c r="V17" s="78">
        <v>173</v>
      </c>
    </row>
    <row r="18" spans="1:22" x14ac:dyDescent="0.2">
      <c r="A18" s="7" t="s">
        <v>80</v>
      </c>
      <c r="B18" s="78">
        <v>172</v>
      </c>
      <c r="C18" s="78">
        <v>175</v>
      </c>
      <c r="D18" s="78">
        <v>173</v>
      </c>
      <c r="E18" s="78">
        <v>178</v>
      </c>
      <c r="F18" s="78">
        <v>178</v>
      </c>
      <c r="G18" s="78">
        <v>175</v>
      </c>
      <c r="H18" s="78">
        <v>174</v>
      </c>
      <c r="I18" s="78">
        <v>172</v>
      </c>
      <c r="J18" s="78">
        <v>177</v>
      </c>
      <c r="K18" s="78">
        <v>177</v>
      </c>
      <c r="L18" s="78">
        <v>171</v>
      </c>
      <c r="M18" s="78">
        <v>170</v>
      </c>
      <c r="N18" s="78">
        <v>170</v>
      </c>
      <c r="O18" s="78">
        <v>172</v>
      </c>
      <c r="P18" s="78">
        <v>172</v>
      </c>
      <c r="Q18" s="78">
        <v>175</v>
      </c>
      <c r="R18" s="78">
        <v>184</v>
      </c>
      <c r="S18" s="78">
        <v>181</v>
      </c>
      <c r="T18" s="78">
        <v>173</v>
      </c>
      <c r="U18" s="78">
        <v>172</v>
      </c>
      <c r="V18" s="78">
        <v>170</v>
      </c>
    </row>
    <row r="19" spans="1:22" x14ac:dyDescent="0.2">
      <c r="A19" s="7" t="s">
        <v>3</v>
      </c>
      <c r="B19" s="78">
        <v>107</v>
      </c>
      <c r="C19" s="78">
        <v>104</v>
      </c>
      <c r="D19" s="78">
        <v>105</v>
      </c>
      <c r="E19" s="78">
        <v>105</v>
      </c>
      <c r="F19" s="78">
        <v>103</v>
      </c>
      <c r="G19" s="78">
        <v>104</v>
      </c>
      <c r="H19" s="78">
        <v>103</v>
      </c>
      <c r="I19" s="78">
        <v>101</v>
      </c>
      <c r="J19" s="78">
        <v>101</v>
      </c>
      <c r="K19" s="78">
        <v>101</v>
      </c>
      <c r="L19" s="78">
        <v>99</v>
      </c>
      <c r="M19" s="78">
        <v>98</v>
      </c>
      <c r="N19" s="78">
        <v>98</v>
      </c>
      <c r="O19" s="78">
        <v>97</v>
      </c>
      <c r="P19" s="78">
        <v>94</v>
      </c>
      <c r="Q19" s="78">
        <v>95</v>
      </c>
      <c r="R19" s="78">
        <v>106</v>
      </c>
      <c r="S19" s="78">
        <v>97</v>
      </c>
      <c r="T19" s="78">
        <v>95</v>
      </c>
      <c r="U19" s="78">
        <v>90</v>
      </c>
      <c r="V19" s="78">
        <v>86</v>
      </c>
    </row>
    <row r="20" spans="1:22" x14ac:dyDescent="0.2">
      <c r="A20" s="7" t="s">
        <v>4</v>
      </c>
      <c r="B20" s="78">
        <v>132</v>
      </c>
      <c r="C20" s="78">
        <v>135</v>
      </c>
      <c r="D20" s="78">
        <v>136</v>
      </c>
      <c r="E20" s="78">
        <v>133</v>
      </c>
      <c r="F20" s="78">
        <v>136</v>
      </c>
      <c r="G20" s="78">
        <v>138</v>
      </c>
      <c r="H20" s="78">
        <v>138</v>
      </c>
      <c r="I20" s="78">
        <v>133</v>
      </c>
      <c r="J20" s="78">
        <v>137</v>
      </c>
      <c r="K20" s="78">
        <v>144</v>
      </c>
      <c r="L20" s="78">
        <v>146</v>
      </c>
      <c r="M20" s="78">
        <v>144</v>
      </c>
      <c r="N20" s="78">
        <v>138</v>
      </c>
      <c r="O20" s="78">
        <v>137</v>
      </c>
      <c r="P20" s="78">
        <v>138</v>
      </c>
      <c r="Q20" s="78">
        <v>137</v>
      </c>
      <c r="R20" s="78">
        <v>151</v>
      </c>
      <c r="S20" s="78">
        <v>142</v>
      </c>
      <c r="T20" s="78">
        <v>134</v>
      </c>
      <c r="U20" s="78">
        <v>130</v>
      </c>
      <c r="V20" s="78">
        <v>130</v>
      </c>
    </row>
    <row r="21" spans="1:22" s="48" customFormat="1" x14ac:dyDescent="0.2">
      <c r="A21" s="49" t="s">
        <v>0</v>
      </c>
      <c r="B21" s="70">
        <v>1520</v>
      </c>
      <c r="C21" s="70">
        <v>1549</v>
      </c>
      <c r="D21" s="70">
        <v>1522</v>
      </c>
      <c r="E21" s="70">
        <v>1519</v>
      </c>
      <c r="F21" s="70">
        <v>1530</v>
      </c>
      <c r="G21" s="70">
        <v>1537</v>
      </c>
      <c r="H21" s="70">
        <v>1511</v>
      </c>
      <c r="I21" s="70">
        <v>1487</v>
      </c>
      <c r="J21" s="70">
        <v>1505</v>
      </c>
      <c r="K21" s="70">
        <v>1500</v>
      </c>
      <c r="L21" s="70">
        <v>1462</v>
      </c>
      <c r="M21" s="70">
        <v>1480</v>
      </c>
      <c r="N21" s="70">
        <v>1461</v>
      </c>
      <c r="O21" s="70">
        <v>1463</v>
      </c>
      <c r="P21" s="70">
        <v>1466</v>
      </c>
      <c r="Q21" s="70">
        <v>1453</v>
      </c>
      <c r="R21" s="70">
        <v>1649</v>
      </c>
      <c r="S21" s="70">
        <v>1570</v>
      </c>
      <c r="T21" s="70">
        <v>1506</v>
      </c>
      <c r="U21" s="70">
        <v>1460</v>
      </c>
      <c r="V21" s="70">
        <v>1438</v>
      </c>
    </row>
  </sheetData>
  <hyperlinks>
    <hyperlink ref="A2" location="Sommaire!A1" display="Retour au menu &quot;Exploitation des films&quot;" xr:uid="{00000000-0004-0000-1600-000000000000}"/>
  </hyperlinks>
  <pageMargins left="0.78740157499999996" right="0.78740157499999996" top="0.984251969" bottom="0.984251969" header="0.4921259845" footer="0.492125984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21"/>
  <sheetViews>
    <sheetView workbookViewId="0"/>
  </sheetViews>
  <sheetFormatPr baseColWidth="10" defaultColWidth="5.5703125" defaultRowHeight="12" x14ac:dyDescent="0.2"/>
  <cols>
    <col min="1" max="1" width="29.85546875" style="46" customWidth="1"/>
    <col min="2" max="2" width="5.42578125" style="46" bestFit="1" customWidth="1"/>
    <col min="3" max="16" width="5.42578125" style="47" bestFit="1" customWidth="1"/>
    <col min="17" max="17" width="5.4257812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91</v>
      </c>
    </row>
    <row r="6" spans="1:22" ht="3" customHeight="1" x14ac:dyDescent="0.2"/>
    <row r="7" spans="1:22" s="48" customFormat="1" x14ac:dyDescent="0.2">
      <c r="A7" s="5"/>
      <c r="B7" s="6" t="s">
        <v>37</v>
      </c>
      <c r="C7" s="6" t="s">
        <v>38</v>
      </c>
      <c r="D7" s="6" t="s">
        <v>39</v>
      </c>
      <c r="E7" s="6" t="s">
        <v>40</v>
      </c>
      <c r="F7" s="6" t="s">
        <v>41</v>
      </c>
      <c r="G7" s="6" t="s">
        <v>42</v>
      </c>
      <c r="H7" s="6" t="s">
        <v>43</v>
      </c>
      <c r="I7" s="6" t="s">
        <v>44</v>
      </c>
      <c r="J7" s="6" t="s">
        <v>45</v>
      </c>
      <c r="K7" s="6" t="s">
        <v>54</v>
      </c>
      <c r="L7" s="6" t="s">
        <v>55</v>
      </c>
      <c r="M7" s="6" t="s">
        <v>76</v>
      </c>
      <c r="N7" s="6" t="s">
        <v>81</v>
      </c>
      <c r="O7" s="6" t="s">
        <v>82</v>
      </c>
      <c r="P7" s="6" t="s">
        <v>113</v>
      </c>
      <c r="Q7" s="6" t="s">
        <v>114</v>
      </c>
      <c r="R7" s="6" t="s">
        <v>115</v>
      </c>
      <c r="S7" s="6" t="s">
        <v>116</v>
      </c>
      <c r="T7" s="6" t="s">
        <v>117</v>
      </c>
      <c r="U7" s="6" t="s">
        <v>118</v>
      </c>
      <c r="V7" s="6" t="s">
        <v>119</v>
      </c>
    </row>
    <row r="8" spans="1:22" x14ac:dyDescent="0.2">
      <c r="A8" s="7" t="s">
        <v>72</v>
      </c>
      <c r="B8" s="8">
        <v>332</v>
      </c>
      <c r="C8" s="8">
        <v>340</v>
      </c>
      <c r="D8" s="8">
        <v>349</v>
      </c>
      <c r="E8" s="8">
        <v>337</v>
      </c>
      <c r="F8" s="8">
        <v>356</v>
      </c>
      <c r="G8" s="8">
        <v>358</v>
      </c>
      <c r="H8" s="8">
        <v>350</v>
      </c>
      <c r="I8" s="8">
        <v>349</v>
      </c>
      <c r="J8" s="8">
        <v>338</v>
      </c>
      <c r="K8" s="8">
        <v>333</v>
      </c>
      <c r="L8" s="8">
        <v>317</v>
      </c>
      <c r="M8" s="8">
        <v>331</v>
      </c>
      <c r="N8" s="8">
        <v>322</v>
      </c>
      <c r="O8" s="8">
        <v>327</v>
      </c>
      <c r="P8" s="8">
        <v>337</v>
      </c>
      <c r="Q8" s="8">
        <v>324</v>
      </c>
      <c r="R8" s="8">
        <v>446</v>
      </c>
      <c r="S8" s="8">
        <v>388</v>
      </c>
      <c r="T8" s="8">
        <v>356</v>
      </c>
      <c r="U8" s="8">
        <v>351</v>
      </c>
      <c r="V8" s="8">
        <v>332</v>
      </c>
    </row>
    <row r="9" spans="1:22" x14ac:dyDescent="0.2">
      <c r="A9" s="7" t="s">
        <v>73</v>
      </c>
      <c r="B9" s="8">
        <v>108</v>
      </c>
      <c r="C9" s="8">
        <v>120</v>
      </c>
      <c r="D9" s="8">
        <v>108</v>
      </c>
      <c r="E9" s="8">
        <v>103</v>
      </c>
      <c r="F9" s="8">
        <v>110</v>
      </c>
      <c r="G9" s="8">
        <v>117</v>
      </c>
      <c r="H9" s="8">
        <v>102</v>
      </c>
      <c r="I9" s="8">
        <v>104</v>
      </c>
      <c r="J9" s="8">
        <v>111</v>
      </c>
      <c r="K9" s="8">
        <v>113</v>
      </c>
      <c r="L9" s="8">
        <v>108</v>
      </c>
      <c r="M9" s="8">
        <v>108</v>
      </c>
      <c r="N9" s="8">
        <v>102</v>
      </c>
      <c r="O9" s="8">
        <v>104</v>
      </c>
      <c r="P9" s="8">
        <v>112</v>
      </c>
      <c r="Q9" s="8">
        <v>118</v>
      </c>
      <c r="R9" s="8">
        <v>151</v>
      </c>
      <c r="S9" s="8">
        <v>126</v>
      </c>
      <c r="T9" s="8">
        <v>111</v>
      </c>
      <c r="U9" s="8">
        <v>109</v>
      </c>
      <c r="V9" s="8">
        <v>106</v>
      </c>
    </row>
    <row r="10" spans="1:22" x14ac:dyDescent="0.2">
      <c r="A10" s="7" t="s">
        <v>1</v>
      </c>
      <c r="B10" s="8">
        <v>120</v>
      </c>
      <c r="C10" s="8">
        <v>133</v>
      </c>
      <c r="D10" s="8">
        <v>122</v>
      </c>
      <c r="E10" s="8">
        <v>125</v>
      </c>
      <c r="F10" s="8">
        <v>116</v>
      </c>
      <c r="G10" s="8">
        <v>117</v>
      </c>
      <c r="H10" s="8">
        <v>114</v>
      </c>
      <c r="I10" s="8">
        <v>118</v>
      </c>
      <c r="J10" s="8">
        <v>115</v>
      </c>
      <c r="K10" s="8">
        <v>116</v>
      </c>
      <c r="L10" s="8">
        <v>117</v>
      </c>
      <c r="M10" s="8">
        <v>115</v>
      </c>
      <c r="N10" s="8">
        <v>115</v>
      </c>
      <c r="O10" s="8">
        <v>111</v>
      </c>
      <c r="P10" s="8">
        <v>118</v>
      </c>
      <c r="Q10" s="8">
        <v>119</v>
      </c>
      <c r="R10" s="8">
        <v>192</v>
      </c>
      <c r="S10" s="8">
        <v>161</v>
      </c>
      <c r="T10" s="8">
        <v>122</v>
      </c>
      <c r="U10" s="8">
        <v>111</v>
      </c>
      <c r="V10" s="8">
        <v>114</v>
      </c>
    </row>
    <row r="11" spans="1:22" x14ac:dyDescent="0.2">
      <c r="A11" s="7" t="s">
        <v>74</v>
      </c>
      <c r="B11" s="8">
        <v>64</v>
      </c>
      <c r="C11" s="8">
        <v>77</v>
      </c>
      <c r="D11" s="8">
        <v>66</v>
      </c>
      <c r="E11" s="8">
        <v>66</v>
      </c>
      <c r="F11" s="8">
        <v>75</v>
      </c>
      <c r="G11" s="8">
        <v>65</v>
      </c>
      <c r="H11" s="8">
        <v>68</v>
      </c>
      <c r="I11" s="8">
        <v>66</v>
      </c>
      <c r="J11" s="8">
        <v>69</v>
      </c>
      <c r="K11" s="8">
        <v>69</v>
      </c>
      <c r="L11" s="8">
        <v>64</v>
      </c>
      <c r="M11" s="8">
        <v>71</v>
      </c>
      <c r="N11" s="8">
        <v>71</v>
      </c>
      <c r="O11" s="8">
        <v>69</v>
      </c>
      <c r="P11" s="8">
        <v>78</v>
      </c>
      <c r="Q11" s="8">
        <v>70</v>
      </c>
      <c r="R11" s="8">
        <v>94</v>
      </c>
      <c r="S11" s="8">
        <v>88</v>
      </c>
      <c r="T11" s="8">
        <v>71</v>
      </c>
      <c r="U11" s="8">
        <v>74</v>
      </c>
      <c r="V11" s="8">
        <v>67</v>
      </c>
    </row>
    <row r="12" spans="1:22" x14ac:dyDescent="0.2">
      <c r="A12" s="7" t="s">
        <v>5</v>
      </c>
      <c r="B12" s="8">
        <v>21</v>
      </c>
      <c r="C12" s="8">
        <v>22</v>
      </c>
      <c r="D12" s="8">
        <v>22</v>
      </c>
      <c r="E12" s="8">
        <v>23</v>
      </c>
      <c r="F12" s="8">
        <v>22</v>
      </c>
      <c r="G12" s="8">
        <v>23</v>
      </c>
      <c r="H12" s="8">
        <v>23</v>
      </c>
      <c r="I12" s="8">
        <v>22</v>
      </c>
      <c r="J12" s="8">
        <v>23</v>
      </c>
      <c r="K12" s="8">
        <v>22</v>
      </c>
      <c r="L12" s="8">
        <v>15</v>
      </c>
      <c r="M12" s="8">
        <v>21</v>
      </c>
      <c r="N12" s="8">
        <v>24</v>
      </c>
      <c r="O12" s="8">
        <v>23</v>
      </c>
      <c r="P12" s="8">
        <v>20</v>
      </c>
      <c r="Q12" s="8">
        <v>24</v>
      </c>
      <c r="R12" s="8">
        <v>24</v>
      </c>
      <c r="S12" s="8">
        <v>25</v>
      </c>
      <c r="T12" s="8">
        <v>21</v>
      </c>
      <c r="U12" s="8">
        <v>22</v>
      </c>
      <c r="V12" s="8">
        <v>21</v>
      </c>
    </row>
    <row r="13" spans="1:22" x14ac:dyDescent="0.2">
      <c r="A13" s="7" t="s">
        <v>77</v>
      </c>
      <c r="B13" s="8">
        <v>129</v>
      </c>
      <c r="C13" s="8">
        <v>126</v>
      </c>
      <c r="D13" s="8">
        <v>126</v>
      </c>
      <c r="E13" s="8">
        <v>121</v>
      </c>
      <c r="F13" s="8">
        <v>106</v>
      </c>
      <c r="G13" s="8">
        <v>108</v>
      </c>
      <c r="H13" s="8">
        <v>108</v>
      </c>
      <c r="I13" s="8">
        <v>107</v>
      </c>
      <c r="J13" s="8">
        <v>110</v>
      </c>
      <c r="K13" s="8">
        <v>113</v>
      </c>
      <c r="L13" s="8">
        <v>110</v>
      </c>
      <c r="M13" s="8">
        <v>107</v>
      </c>
      <c r="N13" s="8">
        <v>107</v>
      </c>
      <c r="O13" s="8">
        <v>108</v>
      </c>
      <c r="P13" s="8">
        <v>119</v>
      </c>
      <c r="Q13" s="8">
        <v>106</v>
      </c>
      <c r="R13" s="8">
        <v>213</v>
      </c>
      <c r="S13" s="8">
        <v>169</v>
      </c>
      <c r="T13" s="8">
        <v>135</v>
      </c>
      <c r="U13" s="8">
        <v>119</v>
      </c>
      <c r="V13" s="8">
        <v>117</v>
      </c>
    </row>
    <row r="14" spans="1:22" x14ac:dyDescent="0.2">
      <c r="A14" s="7" t="s">
        <v>78</v>
      </c>
      <c r="B14" s="8">
        <v>143</v>
      </c>
      <c r="C14" s="8">
        <v>145</v>
      </c>
      <c r="D14" s="8">
        <v>130</v>
      </c>
      <c r="E14" s="8">
        <v>123</v>
      </c>
      <c r="F14" s="8">
        <v>122</v>
      </c>
      <c r="G14" s="8">
        <v>118</v>
      </c>
      <c r="H14" s="8">
        <v>111</v>
      </c>
      <c r="I14" s="8">
        <v>111</v>
      </c>
      <c r="J14" s="8">
        <v>106</v>
      </c>
      <c r="K14" s="8">
        <v>116</v>
      </c>
      <c r="L14" s="8">
        <v>111</v>
      </c>
      <c r="M14" s="8">
        <v>111</v>
      </c>
      <c r="N14" s="8">
        <v>105</v>
      </c>
      <c r="O14" s="8">
        <v>111</v>
      </c>
      <c r="P14" s="8">
        <v>105</v>
      </c>
      <c r="Q14" s="8">
        <v>107</v>
      </c>
      <c r="R14" s="8">
        <v>188</v>
      </c>
      <c r="S14" s="8">
        <v>175</v>
      </c>
      <c r="T14" s="8">
        <v>121</v>
      </c>
      <c r="U14" s="8">
        <v>112</v>
      </c>
      <c r="V14" s="8">
        <v>108</v>
      </c>
    </row>
    <row r="15" spans="1:22" x14ac:dyDescent="0.2">
      <c r="A15" s="7" t="s">
        <v>2</v>
      </c>
      <c r="B15" s="8">
        <v>232</v>
      </c>
      <c r="C15" s="8">
        <v>234</v>
      </c>
      <c r="D15" s="8">
        <v>232</v>
      </c>
      <c r="E15" s="8">
        <v>232</v>
      </c>
      <c r="F15" s="8">
        <v>245</v>
      </c>
      <c r="G15" s="8">
        <v>255</v>
      </c>
      <c r="H15" s="8">
        <v>238</v>
      </c>
      <c r="I15" s="8">
        <v>224</v>
      </c>
      <c r="J15" s="8">
        <v>251</v>
      </c>
      <c r="K15" s="8">
        <v>277</v>
      </c>
      <c r="L15" s="8">
        <v>248</v>
      </c>
      <c r="M15" s="8">
        <v>254</v>
      </c>
      <c r="N15" s="8">
        <v>242</v>
      </c>
      <c r="O15" s="8">
        <v>255</v>
      </c>
      <c r="P15" s="8">
        <v>251</v>
      </c>
      <c r="Q15" s="8">
        <v>239</v>
      </c>
      <c r="R15" s="8">
        <v>387</v>
      </c>
      <c r="S15" s="8">
        <v>335</v>
      </c>
      <c r="T15" s="8">
        <v>301</v>
      </c>
      <c r="U15" s="8">
        <v>265</v>
      </c>
      <c r="V15" s="8">
        <v>263</v>
      </c>
    </row>
    <row r="16" spans="1:22" x14ac:dyDescent="0.2">
      <c r="A16" s="7" t="s">
        <v>75</v>
      </c>
      <c r="B16" s="8">
        <v>94</v>
      </c>
      <c r="C16" s="8">
        <v>109</v>
      </c>
      <c r="D16" s="8">
        <v>98</v>
      </c>
      <c r="E16" s="8">
        <v>106</v>
      </c>
      <c r="F16" s="8">
        <v>107</v>
      </c>
      <c r="G16" s="8">
        <v>115</v>
      </c>
      <c r="H16" s="8">
        <v>113</v>
      </c>
      <c r="I16" s="8">
        <v>98</v>
      </c>
      <c r="J16" s="8">
        <v>112</v>
      </c>
      <c r="K16" s="8">
        <v>109</v>
      </c>
      <c r="L16" s="8">
        <v>103</v>
      </c>
      <c r="M16" s="8">
        <v>102</v>
      </c>
      <c r="N16" s="8">
        <v>92</v>
      </c>
      <c r="O16" s="8">
        <v>96</v>
      </c>
      <c r="P16" s="8">
        <v>98</v>
      </c>
      <c r="Q16" s="8">
        <v>92</v>
      </c>
      <c r="R16" s="8">
        <v>161</v>
      </c>
      <c r="S16" s="8">
        <v>147</v>
      </c>
      <c r="T16" s="8">
        <v>123</v>
      </c>
      <c r="U16" s="8">
        <v>116</v>
      </c>
      <c r="V16" s="8">
        <v>107</v>
      </c>
    </row>
    <row r="17" spans="1:22" x14ac:dyDescent="0.2">
      <c r="A17" s="7" t="s">
        <v>79</v>
      </c>
      <c r="B17" s="8">
        <v>237</v>
      </c>
      <c r="C17" s="8">
        <v>259</v>
      </c>
      <c r="D17" s="8">
        <v>229</v>
      </c>
      <c r="E17" s="8">
        <v>239</v>
      </c>
      <c r="F17" s="8">
        <v>231</v>
      </c>
      <c r="G17" s="8">
        <v>238</v>
      </c>
      <c r="H17" s="8">
        <v>232</v>
      </c>
      <c r="I17" s="8">
        <v>222</v>
      </c>
      <c r="J17" s="8">
        <v>241</v>
      </c>
      <c r="K17" s="8">
        <v>226</v>
      </c>
      <c r="L17" s="8">
        <v>218</v>
      </c>
      <c r="M17" s="8">
        <v>240</v>
      </c>
      <c r="N17" s="8">
        <v>234</v>
      </c>
      <c r="O17" s="8">
        <v>228</v>
      </c>
      <c r="P17" s="8">
        <v>234</v>
      </c>
      <c r="Q17" s="8">
        <v>238</v>
      </c>
      <c r="R17" s="8">
        <v>412</v>
      </c>
      <c r="S17" s="8">
        <v>271</v>
      </c>
      <c r="T17" s="8">
        <v>253</v>
      </c>
      <c r="U17" s="8">
        <v>228</v>
      </c>
      <c r="V17" s="8">
        <v>233</v>
      </c>
    </row>
    <row r="18" spans="1:22" x14ac:dyDescent="0.2">
      <c r="A18" s="7" t="s">
        <v>80</v>
      </c>
      <c r="B18" s="8">
        <v>233</v>
      </c>
      <c r="C18" s="8">
        <v>240</v>
      </c>
      <c r="D18" s="8">
        <v>228</v>
      </c>
      <c r="E18" s="8">
        <v>238</v>
      </c>
      <c r="F18" s="8">
        <v>250</v>
      </c>
      <c r="G18" s="8">
        <v>238</v>
      </c>
      <c r="H18" s="8">
        <v>240</v>
      </c>
      <c r="I18" s="8">
        <v>224</v>
      </c>
      <c r="J18" s="8">
        <v>230</v>
      </c>
      <c r="K18" s="8">
        <v>237</v>
      </c>
      <c r="L18" s="8">
        <v>225</v>
      </c>
      <c r="M18" s="8">
        <v>219</v>
      </c>
      <c r="N18" s="8">
        <v>224</v>
      </c>
      <c r="O18" s="8">
        <v>233</v>
      </c>
      <c r="P18" s="8">
        <v>225</v>
      </c>
      <c r="Q18" s="8">
        <v>236</v>
      </c>
      <c r="R18" s="8">
        <v>300</v>
      </c>
      <c r="S18" s="8">
        <v>271</v>
      </c>
      <c r="T18" s="8">
        <v>236</v>
      </c>
      <c r="U18" s="8">
        <v>229</v>
      </c>
      <c r="V18" s="8">
        <v>227</v>
      </c>
    </row>
    <row r="19" spans="1:22" x14ac:dyDescent="0.2">
      <c r="A19" s="7" t="s">
        <v>3</v>
      </c>
      <c r="B19" s="8">
        <v>124</v>
      </c>
      <c r="C19" s="8">
        <v>121</v>
      </c>
      <c r="D19" s="8">
        <v>121</v>
      </c>
      <c r="E19" s="8">
        <v>122</v>
      </c>
      <c r="F19" s="8">
        <v>123</v>
      </c>
      <c r="G19" s="8">
        <v>133</v>
      </c>
      <c r="H19" s="8">
        <v>124</v>
      </c>
      <c r="I19" s="8">
        <v>118</v>
      </c>
      <c r="J19" s="8">
        <v>119</v>
      </c>
      <c r="K19" s="8">
        <v>121</v>
      </c>
      <c r="L19" s="8">
        <v>116</v>
      </c>
      <c r="M19" s="8">
        <v>123</v>
      </c>
      <c r="N19" s="8">
        <v>119</v>
      </c>
      <c r="O19" s="8">
        <v>118</v>
      </c>
      <c r="P19" s="8">
        <v>116</v>
      </c>
      <c r="Q19" s="8">
        <v>117</v>
      </c>
      <c r="R19" s="8">
        <v>179</v>
      </c>
      <c r="S19" s="8">
        <v>147</v>
      </c>
      <c r="T19" s="8">
        <v>129</v>
      </c>
      <c r="U19" s="8">
        <v>112</v>
      </c>
      <c r="V19" s="8">
        <v>109</v>
      </c>
    </row>
    <row r="20" spans="1:22" x14ac:dyDescent="0.2">
      <c r="A20" s="7" t="s">
        <v>4</v>
      </c>
      <c r="B20" s="8">
        <v>173</v>
      </c>
      <c r="C20" s="8">
        <v>186</v>
      </c>
      <c r="D20" s="8">
        <v>187</v>
      </c>
      <c r="E20" s="8">
        <v>186</v>
      </c>
      <c r="F20" s="8">
        <v>186</v>
      </c>
      <c r="G20" s="8">
        <v>182</v>
      </c>
      <c r="H20" s="8">
        <v>187</v>
      </c>
      <c r="I20" s="8">
        <v>176</v>
      </c>
      <c r="J20" s="8">
        <v>183</v>
      </c>
      <c r="K20" s="8">
        <v>189</v>
      </c>
      <c r="L20" s="8">
        <v>193</v>
      </c>
      <c r="M20" s="8">
        <v>190</v>
      </c>
      <c r="N20" s="8">
        <v>182</v>
      </c>
      <c r="O20" s="8">
        <v>175</v>
      </c>
      <c r="P20" s="8">
        <v>178</v>
      </c>
      <c r="Q20" s="8">
        <v>179</v>
      </c>
      <c r="R20" s="8">
        <v>253</v>
      </c>
      <c r="S20" s="8">
        <v>224</v>
      </c>
      <c r="T20" s="8">
        <v>183</v>
      </c>
      <c r="U20" s="8">
        <v>172</v>
      </c>
      <c r="V20" s="8">
        <v>178</v>
      </c>
    </row>
    <row r="21" spans="1:22" s="48" customFormat="1" x14ac:dyDescent="0.2">
      <c r="A21" s="49" t="s">
        <v>0</v>
      </c>
      <c r="B21" s="70">
        <v>2010</v>
      </c>
      <c r="C21" s="70">
        <v>2112</v>
      </c>
      <c r="D21" s="70">
        <v>2018</v>
      </c>
      <c r="E21" s="70">
        <v>2021</v>
      </c>
      <c r="F21" s="70">
        <v>2049</v>
      </c>
      <c r="G21" s="70">
        <v>2067</v>
      </c>
      <c r="H21" s="70">
        <v>2010</v>
      </c>
      <c r="I21" s="70">
        <v>1939</v>
      </c>
      <c r="J21" s="70">
        <v>2008</v>
      </c>
      <c r="K21" s="70">
        <v>2041</v>
      </c>
      <c r="L21" s="70">
        <v>1945</v>
      </c>
      <c r="M21" s="70">
        <v>1992</v>
      </c>
      <c r="N21" s="70">
        <v>1939</v>
      </c>
      <c r="O21" s="70">
        <v>1958</v>
      </c>
      <c r="P21" s="70">
        <v>1991</v>
      </c>
      <c r="Q21" s="70">
        <v>1969</v>
      </c>
      <c r="R21" s="70">
        <v>3000</v>
      </c>
      <c r="S21" s="70">
        <v>2527</v>
      </c>
      <c r="T21" s="70">
        <v>2162</v>
      </c>
      <c r="U21" s="70">
        <v>2020</v>
      </c>
      <c r="V21" s="70">
        <v>1982</v>
      </c>
    </row>
  </sheetData>
  <phoneticPr fontId="1" type="noConversion"/>
  <hyperlinks>
    <hyperlink ref="A2" location="Sommaire!A1" display="Retour au menu &quot;Exploitation des films&quot;" xr:uid="{00000000-0004-0000-1700-000000000000}"/>
  </hyperlinks>
  <pageMargins left="0.78740157499999996" right="0.78740157499999996" top="0.984251969" bottom="0.984251969" header="0.4921259845" footer="0.492125984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21"/>
  <sheetViews>
    <sheetView workbookViewId="0"/>
  </sheetViews>
  <sheetFormatPr baseColWidth="10" defaultColWidth="5.5703125" defaultRowHeight="12" x14ac:dyDescent="0.2"/>
  <cols>
    <col min="1" max="1" width="29.85546875" style="46" customWidth="1"/>
    <col min="2" max="2" width="7.42578125" style="46" bestFit="1" customWidth="1"/>
    <col min="3" max="16" width="7.42578125" style="47" bestFit="1" customWidth="1"/>
    <col min="17" max="22" width="7.42578125" style="46" bestFit="1"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90</v>
      </c>
    </row>
    <row r="6" spans="1:22" ht="3" customHeight="1" x14ac:dyDescent="0.2"/>
    <row r="7" spans="1:22" s="48" customFormat="1" x14ac:dyDescent="0.2">
      <c r="A7" s="20"/>
      <c r="B7" s="21" t="s">
        <v>37</v>
      </c>
      <c r="C7" s="21" t="s">
        <v>38</v>
      </c>
      <c r="D7" s="21" t="s">
        <v>39</v>
      </c>
      <c r="E7" s="21" t="s">
        <v>40</v>
      </c>
      <c r="F7" s="21" t="s">
        <v>41</v>
      </c>
      <c r="G7" s="21" t="s">
        <v>42</v>
      </c>
      <c r="H7" s="21" t="s">
        <v>43</v>
      </c>
      <c r="I7" s="21" t="s">
        <v>44</v>
      </c>
      <c r="J7" s="21" t="s">
        <v>45</v>
      </c>
      <c r="K7" s="21" t="s">
        <v>54</v>
      </c>
      <c r="L7" s="21" t="s">
        <v>55</v>
      </c>
      <c r="M7" s="21" t="s">
        <v>76</v>
      </c>
      <c r="N7" s="21" t="s">
        <v>81</v>
      </c>
      <c r="O7" s="21" t="s">
        <v>82</v>
      </c>
      <c r="P7" s="21" t="s">
        <v>113</v>
      </c>
      <c r="Q7" s="21" t="s">
        <v>114</v>
      </c>
      <c r="R7" s="21" t="s">
        <v>115</v>
      </c>
      <c r="S7" s="21" t="s">
        <v>116</v>
      </c>
      <c r="T7" s="21" t="s">
        <v>117</v>
      </c>
      <c r="U7" s="21" t="s">
        <v>118</v>
      </c>
      <c r="V7" s="21" t="s">
        <v>119</v>
      </c>
    </row>
    <row r="8" spans="1:22" x14ac:dyDescent="0.2">
      <c r="A8" s="7" t="s">
        <v>72</v>
      </c>
      <c r="B8" s="23">
        <v>58814</v>
      </c>
      <c r="C8" s="23">
        <v>59729</v>
      </c>
      <c r="D8" s="23">
        <v>59552</v>
      </c>
      <c r="E8" s="23">
        <v>57195</v>
      </c>
      <c r="F8" s="23">
        <v>59594</v>
      </c>
      <c r="G8" s="23">
        <v>59802</v>
      </c>
      <c r="H8" s="23">
        <v>58731</v>
      </c>
      <c r="I8" s="23">
        <v>58938</v>
      </c>
      <c r="J8" s="23">
        <v>56233</v>
      </c>
      <c r="K8" s="23">
        <v>56223</v>
      </c>
      <c r="L8" s="23">
        <v>53886</v>
      </c>
      <c r="M8" s="23">
        <v>55526</v>
      </c>
      <c r="N8" s="23">
        <v>53670</v>
      </c>
      <c r="O8" s="23">
        <v>54725</v>
      </c>
      <c r="P8" s="23">
        <v>56584</v>
      </c>
      <c r="Q8" s="23">
        <v>53825</v>
      </c>
      <c r="R8" s="23">
        <v>72121</v>
      </c>
      <c r="S8" s="23">
        <v>62776</v>
      </c>
      <c r="T8" s="23">
        <v>58367</v>
      </c>
      <c r="U8" s="23">
        <v>57158</v>
      </c>
      <c r="V8" s="23">
        <v>53727</v>
      </c>
    </row>
    <row r="9" spans="1:22" x14ac:dyDescent="0.2">
      <c r="A9" s="7" t="s">
        <v>73</v>
      </c>
      <c r="B9" s="23">
        <v>19077</v>
      </c>
      <c r="C9" s="23">
        <v>21351</v>
      </c>
      <c r="D9" s="23">
        <v>18664</v>
      </c>
      <c r="E9" s="23">
        <v>18883</v>
      </c>
      <c r="F9" s="23">
        <v>18851</v>
      </c>
      <c r="G9" s="23">
        <v>20799</v>
      </c>
      <c r="H9" s="23">
        <v>17515</v>
      </c>
      <c r="I9" s="23">
        <v>19241</v>
      </c>
      <c r="J9" s="23">
        <v>20310</v>
      </c>
      <c r="K9" s="23">
        <v>20375</v>
      </c>
      <c r="L9" s="23">
        <v>18080</v>
      </c>
      <c r="M9" s="23">
        <v>18852</v>
      </c>
      <c r="N9" s="23">
        <v>17225</v>
      </c>
      <c r="O9" s="23">
        <v>17269</v>
      </c>
      <c r="P9" s="23">
        <v>18827</v>
      </c>
      <c r="Q9" s="23">
        <v>19799</v>
      </c>
      <c r="R9" s="23">
        <v>24571</v>
      </c>
      <c r="S9" s="23">
        <v>20452</v>
      </c>
      <c r="T9" s="23">
        <v>17789</v>
      </c>
      <c r="U9" s="23">
        <v>18148</v>
      </c>
      <c r="V9" s="23">
        <v>17561</v>
      </c>
    </row>
    <row r="10" spans="1:22" x14ac:dyDescent="0.2">
      <c r="A10" s="7" t="s">
        <v>1</v>
      </c>
      <c r="B10" s="23">
        <v>29197</v>
      </c>
      <c r="C10" s="23">
        <v>28558</v>
      </c>
      <c r="D10" s="23">
        <v>25712</v>
      </c>
      <c r="E10" s="23">
        <v>26116</v>
      </c>
      <c r="F10" s="23">
        <v>24154</v>
      </c>
      <c r="G10" s="23">
        <v>24477</v>
      </c>
      <c r="H10" s="23">
        <v>23913</v>
      </c>
      <c r="I10" s="23">
        <v>24661</v>
      </c>
      <c r="J10" s="23">
        <v>23587</v>
      </c>
      <c r="K10" s="23">
        <v>23780</v>
      </c>
      <c r="L10" s="23">
        <v>23992</v>
      </c>
      <c r="M10" s="23">
        <v>23651</v>
      </c>
      <c r="N10" s="23">
        <v>23592</v>
      </c>
      <c r="O10" s="23">
        <v>22661</v>
      </c>
      <c r="P10" s="23">
        <v>24045</v>
      </c>
      <c r="Q10" s="23">
        <v>23918</v>
      </c>
      <c r="R10" s="23">
        <v>35645</v>
      </c>
      <c r="S10" s="23">
        <v>29989</v>
      </c>
      <c r="T10" s="23">
        <v>24125</v>
      </c>
      <c r="U10" s="23">
        <v>21769</v>
      </c>
      <c r="V10" s="23">
        <v>22359</v>
      </c>
    </row>
    <row r="11" spans="1:22" x14ac:dyDescent="0.2">
      <c r="A11" s="7" t="s">
        <v>74</v>
      </c>
      <c r="B11" s="23">
        <v>12780</v>
      </c>
      <c r="C11" s="23">
        <v>14264</v>
      </c>
      <c r="D11" s="23">
        <v>12669</v>
      </c>
      <c r="E11" s="23">
        <v>12638</v>
      </c>
      <c r="F11" s="23">
        <v>14245</v>
      </c>
      <c r="G11" s="23">
        <v>12954</v>
      </c>
      <c r="H11" s="23">
        <v>13457</v>
      </c>
      <c r="I11" s="23">
        <v>13155</v>
      </c>
      <c r="J11" s="23">
        <v>13636</v>
      </c>
      <c r="K11" s="23">
        <v>13636</v>
      </c>
      <c r="L11" s="23">
        <v>12687</v>
      </c>
      <c r="M11" s="23">
        <v>14343</v>
      </c>
      <c r="N11" s="23">
        <v>14343</v>
      </c>
      <c r="O11" s="23">
        <v>13611</v>
      </c>
      <c r="P11" s="23">
        <v>15415</v>
      </c>
      <c r="Q11" s="23">
        <v>13777</v>
      </c>
      <c r="R11" s="23">
        <v>17683</v>
      </c>
      <c r="S11" s="23">
        <v>17328</v>
      </c>
      <c r="T11" s="23">
        <v>14557</v>
      </c>
      <c r="U11" s="23">
        <v>14914</v>
      </c>
      <c r="V11" s="23">
        <v>13802</v>
      </c>
    </row>
    <row r="12" spans="1:22" x14ac:dyDescent="0.2">
      <c r="A12" s="7" t="s">
        <v>5</v>
      </c>
      <c r="B12" s="23">
        <v>3765</v>
      </c>
      <c r="C12" s="23">
        <v>5409</v>
      </c>
      <c r="D12" s="23">
        <v>5409</v>
      </c>
      <c r="E12" s="23">
        <v>5409</v>
      </c>
      <c r="F12" s="23">
        <v>5637</v>
      </c>
      <c r="G12" s="23">
        <v>5935</v>
      </c>
      <c r="H12" s="23">
        <v>5935</v>
      </c>
      <c r="I12" s="23">
        <v>5864</v>
      </c>
      <c r="J12" s="23">
        <v>6208</v>
      </c>
      <c r="K12" s="23">
        <v>6140</v>
      </c>
      <c r="L12" s="23">
        <v>3090</v>
      </c>
      <c r="M12" s="23">
        <v>6125</v>
      </c>
      <c r="N12" s="23">
        <v>6566</v>
      </c>
      <c r="O12" s="23">
        <v>5830</v>
      </c>
      <c r="P12" s="23">
        <v>5236</v>
      </c>
      <c r="Q12" s="23">
        <v>5855</v>
      </c>
      <c r="R12" s="23">
        <v>4990</v>
      </c>
      <c r="S12" s="23">
        <v>5535</v>
      </c>
      <c r="T12" s="23">
        <v>4922</v>
      </c>
      <c r="U12" s="23">
        <v>5319</v>
      </c>
      <c r="V12" s="23">
        <v>5020</v>
      </c>
    </row>
    <row r="13" spans="1:22" x14ac:dyDescent="0.2">
      <c r="A13" s="7" t="s">
        <v>77</v>
      </c>
      <c r="B13" s="23">
        <v>25401</v>
      </c>
      <c r="C13" s="23">
        <v>23972</v>
      </c>
      <c r="D13" s="23">
        <v>23600</v>
      </c>
      <c r="E13" s="23">
        <v>22561</v>
      </c>
      <c r="F13" s="23">
        <v>19889</v>
      </c>
      <c r="G13" s="23">
        <v>20648</v>
      </c>
      <c r="H13" s="23">
        <v>20421</v>
      </c>
      <c r="I13" s="23">
        <v>20209</v>
      </c>
      <c r="J13" s="23">
        <v>21029</v>
      </c>
      <c r="K13" s="23">
        <v>21012</v>
      </c>
      <c r="L13" s="23">
        <v>21128</v>
      </c>
      <c r="M13" s="23">
        <v>20216</v>
      </c>
      <c r="N13" s="23">
        <v>20112</v>
      </c>
      <c r="O13" s="23">
        <v>20853</v>
      </c>
      <c r="P13" s="23">
        <v>22788</v>
      </c>
      <c r="Q13" s="23">
        <v>20063</v>
      </c>
      <c r="R13" s="23">
        <v>37147</v>
      </c>
      <c r="S13" s="23">
        <v>29421</v>
      </c>
      <c r="T13" s="23">
        <v>23950</v>
      </c>
      <c r="U13" s="23">
        <v>21876</v>
      </c>
      <c r="V13" s="23">
        <v>21071</v>
      </c>
    </row>
    <row r="14" spans="1:22" x14ac:dyDescent="0.2">
      <c r="A14" s="7" t="s">
        <v>78</v>
      </c>
      <c r="B14" s="23">
        <v>30712</v>
      </c>
      <c r="C14" s="23">
        <v>28892</v>
      </c>
      <c r="D14" s="23">
        <v>26161</v>
      </c>
      <c r="E14" s="23">
        <v>24884</v>
      </c>
      <c r="F14" s="23">
        <v>25037</v>
      </c>
      <c r="G14" s="23">
        <v>23612</v>
      </c>
      <c r="H14" s="23">
        <v>21819</v>
      </c>
      <c r="I14" s="23">
        <v>21819</v>
      </c>
      <c r="J14" s="23">
        <v>20867</v>
      </c>
      <c r="K14" s="23">
        <v>22422</v>
      </c>
      <c r="L14" s="23">
        <v>21335</v>
      </c>
      <c r="M14" s="23">
        <v>22179</v>
      </c>
      <c r="N14" s="23">
        <v>21064</v>
      </c>
      <c r="O14" s="23">
        <v>22040</v>
      </c>
      <c r="P14" s="23">
        <v>20971</v>
      </c>
      <c r="Q14" s="23">
        <v>21334</v>
      </c>
      <c r="R14" s="23">
        <v>32751</v>
      </c>
      <c r="S14" s="23">
        <v>30111</v>
      </c>
      <c r="T14" s="23">
        <v>22413</v>
      </c>
      <c r="U14" s="23">
        <v>21256</v>
      </c>
      <c r="V14" s="23">
        <v>20019</v>
      </c>
    </row>
    <row r="15" spans="1:22" x14ac:dyDescent="0.2">
      <c r="A15" s="7" t="s">
        <v>2</v>
      </c>
      <c r="B15" s="23">
        <v>55435</v>
      </c>
      <c r="C15" s="23">
        <v>53979</v>
      </c>
      <c r="D15" s="23">
        <v>53474</v>
      </c>
      <c r="E15" s="23">
        <v>52168</v>
      </c>
      <c r="F15" s="23">
        <v>54897</v>
      </c>
      <c r="G15" s="23">
        <v>57092</v>
      </c>
      <c r="H15" s="23">
        <v>53207</v>
      </c>
      <c r="I15" s="23">
        <v>50597</v>
      </c>
      <c r="J15" s="23">
        <v>56235</v>
      </c>
      <c r="K15" s="23">
        <v>60243</v>
      </c>
      <c r="L15" s="23">
        <v>54326</v>
      </c>
      <c r="M15" s="23">
        <v>56258</v>
      </c>
      <c r="N15" s="23">
        <v>55609</v>
      </c>
      <c r="O15" s="23">
        <v>57302</v>
      </c>
      <c r="P15" s="23">
        <v>56687</v>
      </c>
      <c r="Q15" s="23">
        <v>53248</v>
      </c>
      <c r="R15" s="23">
        <v>77131</v>
      </c>
      <c r="S15" s="23">
        <v>68097</v>
      </c>
      <c r="T15" s="23">
        <v>63562</v>
      </c>
      <c r="U15" s="23">
        <v>57556</v>
      </c>
      <c r="V15" s="23">
        <v>57214</v>
      </c>
    </row>
    <row r="16" spans="1:22" x14ac:dyDescent="0.2">
      <c r="A16" s="7" t="s">
        <v>75</v>
      </c>
      <c r="B16" s="23">
        <v>23442</v>
      </c>
      <c r="C16" s="23">
        <v>24754</v>
      </c>
      <c r="D16" s="23">
        <v>22585</v>
      </c>
      <c r="E16" s="23">
        <v>23893</v>
      </c>
      <c r="F16" s="23">
        <v>24093</v>
      </c>
      <c r="G16" s="23">
        <v>25765</v>
      </c>
      <c r="H16" s="23">
        <v>24687</v>
      </c>
      <c r="I16" s="23">
        <v>22174</v>
      </c>
      <c r="J16" s="23">
        <v>24409</v>
      </c>
      <c r="K16" s="23">
        <v>23979</v>
      </c>
      <c r="L16" s="23">
        <v>23370</v>
      </c>
      <c r="M16" s="23">
        <v>23607</v>
      </c>
      <c r="N16" s="23">
        <v>20856</v>
      </c>
      <c r="O16" s="23">
        <v>21745</v>
      </c>
      <c r="P16" s="23">
        <v>21826</v>
      </c>
      <c r="Q16" s="23">
        <v>20655</v>
      </c>
      <c r="R16" s="23">
        <v>32723</v>
      </c>
      <c r="S16" s="23">
        <v>30980</v>
      </c>
      <c r="T16" s="23">
        <v>26155</v>
      </c>
      <c r="U16" s="23">
        <v>24422</v>
      </c>
      <c r="V16" s="23">
        <v>23012</v>
      </c>
    </row>
    <row r="17" spans="1:22" x14ac:dyDescent="0.2">
      <c r="A17" s="7" t="s">
        <v>79</v>
      </c>
      <c r="B17" s="23">
        <v>51549</v>
      </c>
      <c r="C17" s="23">
        <v>51417</v>
      </c>
      <c r="D17" s="23">
        <v>46706</v>
      </c>
      <c r="E17" s="23">
        <v>48101</v>
      </c>
      <c r="F17" s="23">
        <v>46834</v>
      </c>
      <c r="G17" s="23">
        <v>48336</v>
      </c>
      <c r="H17" s="23">
        <v>46777</v>
      </c>
      <c r="I17" s="23">
        <v>44396</v>
      </c>
      <c r="J17" s="23">
        <v>47123</v>
      </c>
      <c r="K17" s="23">
        <v>46030</v>
      </c>
      <c r="L17" s="23">
        <v>43971</v>
      </c>
      <c r="M17" s="23">
        <v>48389</v>
      </c>
      <c r="N17" s="23">
        <v>45599</v>
      </c>
      <c r="O17" s="23">
        <v>45575</v>
      </c>
      <c r="P17" s="23">
        <v>45892</v>
      </c>
      <c r="Q17" s="23">
        <v>45802</v>
      </c>
      <c r="R17" s="23">
        <v>72488</v>
      </c>
      <c r="S17" s="23">
        <v>48334</v>
      </c>
      <c r="T17" s="23">
        <v>46554</v>
      </c>
      <c r="U17" s="23">
        <v>42256</v>
      </c>
      <c r="V17" s="23">
        <v>42981</v>
      </c>
    </row>
    <row r="18" spans="1:22" x14ac:dyDescent="0.2">
      <c r="A18" s="7" t="s">
        <v>80</v>
      </c>
      <c r="B18" s="23">
        <v>42734</v>
      </c>
      <c r="C18" s="23">
        <v>41586</v>
      </c>
      <c r="D18" s="23">
        <v>39741</v>
      </c>
      <c r="E18" s="23">
        <v>41837</v>
      </c>
      <c r="F18" s="23">
        <v>42961</v>
      </c>
      <c r="G18" s="23">
        <v>41415</v>
      </c>
      <c r="H18" s="23">
        <v>41987</v>
      </c>
      <c r="I18" s="23">
        <v>38468</v>
      </c>
      <c r="J18" s="23">
        <v>40073</v>
      </c>
      <c r="K18" s="23">
        <v>40642</v>
      </c>
      <c r="L18" s="23">
        <v>38577</v>
      </c>
      <c r="M18" s="23">
        <v>37499</v>
      </c>
      <c r="N18" s="23">
        <v>38536</v>
      </c>
      <c r="O18" s="23">
        <v>39658</v>
      </c>
      <c r="P18" s="23">
        <v>38390</v>
      </c>
      <c r="Q18" s="23">
        <v>39662</v>
      </c>
      <c r="R18" s="23">
        <v>48618</v>
      </c>
      <c r="S18" s="23">
        <v>43153</v>
      </c>
      <c r="T18" s="23">
        <v>38544</v>
      </c>
      <c r="U18" s="23">
        <v>37585</v>
      </c>
      <c r="V18" s="23">
        <v>36822</v>
      </c>
    </row>
    <row r="19" spans="1:22" x14ac:dyDescent="0.2">
      <c r="A19" s="7" t="s">
        <v>3</v>
      </c>
      <c r="B19" s="23">
        <v>30631</v>
      </c>
      <c r="C19" s="23">
        <v>26548</v>
      </c>
      <c r="D19" s="23">
        <v>26499</v>
      </c>
      <c r="E19" s="23">
        <v>26638</v>
      </c>
      <c r="F19" s="23">
        <v>25791</v>
      </c>
      <c r="G19" s="23">
        <v>27463</v>
      </c>
      <c r="H19" s="23">
        <v>25609</v>
      </c>
      <c r="I19" s="23">
        <v>24644</v>
      </c>
      <c r="J19" s="23">
        <v>24638</v>
      </c>
      <c r="K19" s="23">
        <v>25095</v>
      </c>
      <c r="L19" s="23">
        <v>23932</v>
      </c>
      <c r="M19" s="23">
        <v>25183</v>
      </c>
      <c r="N19" s="23">
        <v>24247</v>
      </c>
      <c r="O19" s="23">
        <v>23869</v>
      </c>
      <c r="P19" s="23">
        <v>23492</v>
      </c>
      <c r="Q19" s="23">
        <v>23696</v>
      </c>
      <c r="R19" s="23">
        <v>33081</v>
      </c>
      <c r="S19" s="23">
        <v>26650</v>
      </c>
      <c r="T19" s="23">
        <v>23957</v>
      </c>
      <c r="U19" s="23">
        <v>21303</v>
      </c>
      <c r="V19" s="23">
        <v>20233</v>
      </c>
    </row>
    <row r="20" spans="1:22" x14ac:dyDescent="0.2">
      <c r="A20" s="7" t="s">
        <v>4</v>
      </c>
      <c r="B20" s="23">
        <v>26362</v>
      </c>
      <c r="C20" s="23">
        <v>26568</v>
      </c>
      <c r="D20" s="23">
        <v>26884</v>
      </c>
      <c r="E20" s="23">
        <v>26591</v>
      </c>
      <c r="F20" s="23">
        <v>27031</v>
      </c>
      <c r="G20" s="23">
        <v>27091</v>
      </c>
      <c r="H20" s="23">
        <v>27839</v>
      </c>
      <c r="I20" s="23">
        <v>26183</v>
      </c>
      <c r="J20" s="23">
        <v>27210</v>
      </c>
      <c r="K20" s="23">
        <v>29054</v>
      </c>
      <c r="L20" s="23">
        <v>30250</v>
      </c>
      <c r="M20" s="23">
        <v>29978</v>
      </c>
      <c r="N20" s="23">
        <v>28271</v>
      </c>
      <c r="O20" s="23">
        <v>27444</v>
      </c>
      <c r="P20" s="23">
        <v>28040</v>
      </c>
      <c r="Q20" s="23">
        <v>27796</v>
      </c>
      <c r="R20" s="23">
        <v>37648</v>
      </c>
      <c r="S20" s="23">
        <v>32866</v>
      </c>
      <c r="T20" s="23">
        <v>26805</v>
      </c>
      <c r="U20" s="23">
        <v>25236</v>
      </c>
      <c r="V20" s="23">
        <v>25389</v>
      </c>
    </row>
    <row r="21" spans="1:22" s="48" customFormat="1" x14ac:dyDescent="0.2">
      <c r="A21" s="49" t="s">
        <v>0</v>
      </c>
      <c r="B21" s="70">
        <v>409899</v>
      </c>
      <c r="C21" s="70">
        <v>407027</v>
      </c>
      <c r="D21" s="70">
        <v>387656</v>
      </c>
      <c r="E21" s="70">
        <v>386914</v>
      </c>
      <c r="F21" s="70">
        <v>389014</v>
      </c>
      <c r="G21" s="70">
        <v>395389</v>
      </c>
      <c r="H21" s="70">
        <v>381897</v>
      </c>
      <c r="I21" s="70">
        <v>370349</v>
      </c>
      <c r="J21" s="70">
        <v>381558</v>
      </c>
      <c r="K21" s="70">
        <v>388631</v>
      </c>
      <c r="L21" s="70">
        <v>368624</v>
      </c>
      <c r="M21" s="70">
        <v>381806</v>
      </c>
      <c r="N21" s="70">
        <v>369690</v>
      </c>
      <c r="O21" s="70">
        <v>372582</v>
      </c>
      <c r="P21" s="70">
        <v>378193</v>
      </c>
      <c r="Q21" s="70">
        <v>369430</v>
      </c>
      <c r="R21" s="70">
        <v>526597</v>
      </c>
      <c r="S21" s="70">
        <v>445692</v>
      </c>
      <c r="T21" s="70">
        <v>391700</v>
      </c>
      <c r="U21" s="70">
        <v>368798</v>
      </c>
      <c r="V21" s="70">
        <v>359210</v>
      </c>
    </row>
  </sheetData>
  <phoneticPr fontId="1" type="noConversion"/>
  <hyperlinks>
    <hyperlink ref="A2" location="Sommaire!A1" display="Retour au menu &quot;Exploitation des films&quot;" xr:uid="{00000000-0004-0000-1800-000000000000}"/>
  </hyperlinks>
  <pageMargins left="0.78740157499999996" right="0.78740157499999996" top="0.984251969" bottom="0.984251969" header="0.4921259845" footer="0.4921259845"/>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21"/>
  <sheetViews>
    <sheetView workbookViewId="0">
      <selection activeCell="M7" sqref="M7:V21"/>
    </sheetView>
  </sheetViews>
  <sheetFormatPr baseColWidth="10" defaultColWidth="5.5703125" defaultRowHeight="12" x14ac:dyDescent="0.2"/>
  <cols>
    <col min="1" max="1" width="29.85546875" style="46" customWidth="1"/>
    <col min="2" max="2" width="6.85546875" style="46" bestFit="1" customWidth="1"/>
    <col min="3" max="16" width="6.85546875" style="47" bestFit="1" customWidth="1"/>
    <col min="17" max="20" width="6.85546875" style="46" bestFit="1" customWidth="1"/>
    <col min="21" max="22" width="6.5703125" style="46"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89</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6">
        <v>152708</v>
      </c>
      <c r="C8" s="26">
        <v>159789</v>
      </c>
      <c r="D8" s="26">
        <v>160408</v>
      </c>
      <c r="E8" s="26">
        <v>155513</v>
      </c>
      <c r="F8" s="26">
        <v>164944</v>
      </c>
      <c r="G8" s="26">
        <v>170119</v>
      </c>
      <c r="H8" s="26">
        <v>170944</v>
      </c>
      <c r="I8" s="26">
        <v>174418</v>
      </c>
      <c r="J8" s="26">
        <v>173743</v>
      </c>
      <c r="K8" s="26">
        <v>182250</v>
      </c>
      <c r="L8" s="26">
        <v>189883</v>
      </c>
      <c r="M8" s="26">
        <v>198307</v>
      </c>
      <c r="N8" s="26">
        <v>202201</v>
      </c>
      <c r="O8" s="26">
        <v>203148</v>
      </c>
      <c r="P8" s="26">
        <v>217502</v>
      </c>
      <c r="Q8" s="26">
        <v>212787</v>
      </c>
      <c r="R8" s="26">
        <v>188388</v>
      </c>
      <c r="S8" s="26">
        <v>174995</v>
      </c>
      <c r="T8" s="26">
        <v>248148</v>
      </c>
      <c r="U8" s="26">
        <v>229332</v>
      </c>
      <c r="V8" s="26">
        <v>222678</v>
      </c>
    </row>
    <row r="9" spans="1:22" x14ac:dyDescent="0.2">
      <c r="A9" s="7" t="s">
        <v>73</v>
      </c>
      <c r="B9" s="26">
        <v>54986</v>
      </c>
      <c r="C9" s="26">
        <v>70365</v>
      </c>
      <c r="D9" s="26">
        <v>61089</v>
      </c>
      <c r="E9" s="26">
        <v>48795</v>
      </c>
      <c r="F9" s="26">
        <v>58468</v>
      </c>
      <c r="G9" s="26">
        <v>64178</v>
      </c>
      <c r="H9" s="26">
        <v>54072</v>
      </c>
      <c r="I9" s="26">
        <v>58133</v>
      </c>
      <c r="J9" s="26">
        <v>66000</v>
      </c>
      <c r="K9" s="26">
        <v>68259</v>
      </c>
      <c r="L9" s="26">
        <v>65211</v>
      </c>
      <c r="M9" s="26">
        <v>78032</v>
      </c>
      <c r="N9" s="26">
        <v>70811</v>
      </c>
      <c r="O9" s="26">
        <v>73791</v>
      </c>
      <c r="P9" s="26">
        <v>84844</v>
      </c>
      <c r="Q9" s="26">
        <v>87526</v>
      </c>
      <c r="R9" s="26">
        <v>68260</v>
      </c>
      <c r="S9" s="26">
        <v>64036</v>
      </c>
      <c r="T9" s="26">
        <v>81131</v>
      </c>
      <c r="U9" s="26">
        <v>77229</v>
      </c>
      <c r="V9" s="26">
        <v>78259</v>
      </c>
    </row>
    <row r="10" spans="1:22" x14ac:dyDescent="0.2">
      <c r="A10" s="7" t="s">
        <v>1</v>
      </c>
      <c r="B10" s="26">
        <v>53106</v>
      </c>
      <c r="C10" s="26">
        <v>56559</v>
      </c>
      <c r="D10" s="26">
        <v>54302</v>
      </c>
      <c r="E10" s="26">
        <v>58374</v>
      </c>
      <c r="F10" s="26">
        <v>51617</v>
      </c>
      <c r="G10" s="26">
        <v>50585</v>
      </c>
      <c r="H10" s="26">
        <v>50390</v>
      </c>
      <c r="I10" s="26">
        <v>53502</v>
      </c>
      <c r="J10" s="26">
        <v>56003</v>
      </c>
      <c r="K10" s="26">
        <v>58701</v>
      </c>
      <c r="L10" s="26">
        <v>60958</v>
      </c>
      <c r="M10" s="26">
        <v>63988</v>
      </c>
      <c r="N10" s="26">
        <v>67919</v>
      </c>
      <c r="O10" s="26">
        <v>66677</v>
      </c>
      <c r="P10" s="26">
        <v>73037</v>
      </c>
      <c r="Q10" s="26">
        <v>71257</v>
      </c>
      <c r="R10" s="26">
        <v>86928</v>
      </c>
      <c r="S10" s="26">
        <v>83278</v>
      </c>
      <c r="T10" s="26">
        <v>89361</v>
      </c>
      <c r="U10" s="26">
        <v>72699</v>
      </c>
      <c r="V10" s="26">
        <v>75014</v>
      </c>
    </row>
    <row r="11" spans="1:22" x14ac:dyDescent="0.2">
      <c r="A11" s="7" t="s">
        <v>74</v>
      </c>
      <c r="B11" s="26">
        <v>35505</v>
      </c>
      <c r="C11" s="26">
        <v>43191</v>
      </c>
      <c r="D11" s="26">
        <v>34691</v>
      </c>
      <c r="E11" s="26">
        <v>34009</v>
      </c>
      <c r="F11" s="26">
        <v>40862</v>
      </c>
      <c r="G11" s="26">
        <v>33960</v>
      </c>
      <c r="H11" s="26">
        <v>35963</v>
      </c>
      <c r="I11" s="26">
        <v>35560</v>
      </c>
      <c r="J11" s="26">
        <v>40074</v>
      </c>
      <c r="K11" s="26">
        <v>40755</v>
      </c>
      <c r="L11" s="26">
        <v>38010</v>
      </c>
      <c r="M11" s="26">
        <v>49404</v>
      </c>
      <c r="N11" s="26">
        <v>45406</v>
      </c>
      <c r="O11" s="26">
        <v>44378</v>
      </c>
      <c r="P11" s="26">
        <v>48958</v>
      </c>
      <c r="Q11" s="26">
        <v>46977</v>
      </c>
      <c r="R11" s="26">
        <v>41013</v>
      </c>
      <c r="S11" s="26">
        <v>38782</v>
      </c>
      <c r="T11" s="26">
        <v>44923</v>
      </c>
      <c r="U11" s="26">
        <v>47107</v>
      </c>
      <c r="V11" s="26">
        <v>40978</v>
      </c>
    </row>
    <row r="12" spans="1:22" x14ac:dyDescent="0.2">
      <c r="A12" s="7" t="s">
        <v>5</v>
      </c>
      <c r="B12" s="26">
        <v>8308</v>
      </c>
      <c r="C12" s="26">
        <v>9490</v>
      </c>
      <c r="D12" s="26">
        <v>9019</v>
      </c>
      <c r="E12" s="26">
        <v>7140</v>
      </c>
      <c r="F12" s="26">
        <v>6712</v>
      </c>
      <c r="G12" s="26">
        <v>7057</v>
      </c>
      <c r="H12" s="26">
        <v>7113</v>
      </c>
      <c r="I12" s="26">
        <v>7733</v>
      </c>
      <c r="J12" s="26">
        <v>9319</v>
      </c>
      <c r="K12" s="26">
        <v>9740</v>
      </c>
      <c r="L12" s="26">
        <v>6184</v>
      </c>
      <c r="M12" s="26">
        <v>7566</v>
      </c>
      <c r="N12" s="26">
        <v>9472</v>
      </c>
      <c r="O12" s="26">
        <v>8185</v>
      </c>
      <c r="P12" s="26">
        <v>7354</v>
      </c>
      <c r="Q12" s="26">
        <v>11112</v>
      </c>
      <c r="R12" s="26">
        <v>9493</v>
      </c>
      <c r="S12" s="26">
        <v>12777</v>
      </c>
      <c r="T12" s="26">
        <v>10121</v>
      </c>
      <c r="U12" s="26">
        <v>13532</v>
      </c>
      <c r="V12" s="26">
        <v>13667</v>
      </c>
    </row>
    <row r="13" spans="1:22" x14ac:dyDescent="0.2">
      <c r="A13" s="7" t="s">
        <v>77</v>
      </c>
      <c r="B13" s="26">
        <v>67852</v>
      </c>
      <c r="C13" s="26">
        <v>64436</v>
      </c>
      <c r="D13" s="26">
        <v>61856</v>
      </c>
      <c r="E13" s="26">
        <v>64129</v>
      </c>
      <c r="F13" s="26">
        <v>63379</v>
      </c>
      <c r="G13" s="26">
        <v>62774</v>
      </c>
      <c r="H13" s="26">
        <v>68729</v>
      </c>
      <c r="I13" s="26">
        <v>70927</v>
      </c>
      <c r="J13" s="26">
        <v>70805</v>
      </c>
      <c r="K13" s="26">
        <v>76671</v>
      </c>
      <c r="L13" s="26">
        <v>76547</v>
      </c>
      <c r="M13" s="26">
        <v>73779</v>
      </c>
      <c r="N13" s="26">
        <v>76040</v>
      </c>
      <c r="O13" s="26">
        <v>75692</v>
      </c>
      <c r="P13" s="26">
        <v>87267</v>
      </c>
      <c r="Q13" s="26">
        <v>76802</v>
      </c>
      <c r="R13" s="26">
        <v>112409</v>
      </c>
      <c r="S13" s="26">
        <v>88749</v>
      </c>
      <c r="T13" s="26">
        <v>92187</v>
      </c>
      <c r="U13" s="26">
        <v>87165</v>
      </c>
      <c r="V13" s="26">
        <v>90220</v>
      </c>
    </row>
    <row r="14" spans="1:22" x14ac:dyDescent="0.2">
      <c r="A14" s="7" t="s">
        <v>78</v>
      </c>
      <c r="B14" s="26">
        <v>74312</v>
      </c>
      <c r="C14" s="26">
        <v>74993</v>
      </c>
      <c r="D14" s="26">
        <v>72351</v>
      </c>
      <c r="E14" s="26">
        <v>69618</v>
      </c>
      <c r="F14" s="26">
        <v>70915</v>
      </c>
      <c r="G14" s="26">
        <v>69517</v>
      </c>
      <c r="H14" s="26">
        <v>70127</v>
      </c>
      <c r="I14" s="26">
        <v>73680</v>
      </c>
      <c r="J14" s="26">
        <v>70730</v>
      </c>
      <c r="K14" s="26">
        <v>74121</v>
      </c>
      <c r="L14" s="26">
        <v>77200</v>
      </c>
      <c r="M14" s="26">
        <v>74930</v>
      </c>
      <c r="N14" s="26">
        <v>77274</v>
      </c>
      <c r="O14" s="26">
        <v>75644</v>
      </c>
      <c r="P14" s="26">
        <v>77366</v>
      </c>
      <c r="Q14" s="26">
        <v>78276</v>
      </c>
      <c r="R14" s="26">
        <v>101166</v>
      </c>
      <c r="S14" s="26">
        <v>112968</v>
      </c>
      <c r="T14" s="26">
        <v>100570</v>
      </c>
      <c r="U14" s="26">
        <v>86069</v>
      </c>
      <c r="V14" s="26">
        <v>84006</v>
      </c>
    </row>
    <row r="15" spans="1:22" x14ac:dyDescent="0.2">
      <c r="A15" s="7" t="s">
        <v>2</v>
      </c>
      <c r="B15" s="26">
        <v>149367.56921816122</v>
      </c>
      <c r="C15" s="26">
        <v>153659.69728772822</v>
      </c>
      <c r="D15" s="26">
        <v>154536.54545103299</v>
      </c>
      <c r="E15" s="26">
        <v>166462.45158940682</v>
      </c>
      <c r="F15" s="26">
        <v>167289.79383058401</v>
      </c>
      <c r="G15" s="26">
        <v>183828.04744736449</v>
      </c>
      <c r="H15" s="26">
        <v>172463.8145484734</v>
      </c>
      <c r="I15" s="26">
        <v>160380.35093468975</v>
      </c>
      <c r="J15" s="26">
        <v>183840.27565482125</v>
      </c>
      <c r="K15" s="26">
        <v>205865.31663821213</v>
      </c>
      <c r="L15" s="26">
        <v>194826.15237365023</v>
      </c>
      <c r="M15" s="26">
        <v>216591.4193437646</v>
      </c>
      <c r="N15" s="26">
        <v>184045.12059175532</v>
      </c>
      <c r="O15" s="26">
        <v>201742.06445451675</v>
      </c>
      <c r="P15" s="26">
        <v>218757.15469649245</v>
      </c>
      <c r="Q15" s="26">
        <v>204464.4148805544</v>
      </c>
      <c r="R15" s="26">
        <v>227154.52265571241</v>
      </c>
      <c r="S15" s="26">
        <v>221335</v>
      </c>
      <c r="T15" s="26">
        <v>281837.03010406514</v>
      </c>
      <c r="U15" s="26">
        <v>243943.84239888616</v>
      </c>
      <c r="V15" s="26">
        <v>246092.92136049614</v>
      </c>
    </row>
    <row r="16" spans="1:22" x14ac:dyDescent="0.2">
      <c r="A16" s="7" t="s">
        <v>75</v>
      </c>
      <c r="B16" s="26">
        <v>49150</v>
      </c>
      <c r="C16" s="26">
        <v>61085</v>
      </c>
      <c r="D16" s="26">
        <v>53369</v>
      </c>
      <c r="E16" s="26">
        <v>58765</v>
      </c>
      <c r="F16" s="26">
        <v>61910</v>
      </c>
      <c r="G16" s="26">
        <v>71502</v>
      </c>
      <c r="H16" s="26">
        <v>72823</v>
      </c>
      <c r="I16" s="26">
        <v>58570</v>
      </c>
      <c r="J16" s="26">
        <v>74398</v>
      </c>
      <c r="K16" s="26">
        <v>73362</v>
      </c>
      <c r="L16" s="26">
        <v>70921</v>
      </c>
      <c r="M16" s="26">
        <v>70603</v>
      </c>
      <c r="N16" s="26">
        <v>60261</v>
      </c>
      <c r="O16" s="26">
        <v>66806</v>
      </c>
      <c r="P16" s="26">
        <v>69802</v>
      </c>
      <c r="Q16" s="26">
        <v>66714</v>
      </c>
      <c r="R16" s="26">
        <v>78604</v>
      </c>
      <c r="S16" s="26">
        <v>81559</v>
      </c>
      <c r="T16" s="26">
        <v>93933</v>
      </c>
      <c r="U16" s="26">
        <v>85426</v>
      </c>
      <c r="V16" s="26">
        <v>82032</v>
      </c>
    </row>
    <row r="17" spans="1:22" x14ac:dyDescent="0.2">
      <c r="A17" s="7" t="s">
        <v>79</v>
      </c>
      <c r="B17" s="26">
        <v>102053</v>
      </c>
      <c r="C17" s="26">
        <v>117621</v>
      </c>
      <c r="D17" s="26">
        <v>104153</v>
      </c>
      <c r="E17" s="26">
        <v>117375</v>
      </c>
      <c r="F17" s="26">
        <v>115066</v>
      </c>
      <c r="G17" s="26">
        <v>120899</v>
      </c>
      <c r="H17" s="26">
        <v>119229</v>
      </c>
      <c r="I17" s="26">
        <v>122898</v>
      </c>
      <c r="J17" s="26">
        <v>134191</v>
      </c>
      <c r="K17" s="26">
        <v>134884</v>
      </c>
      <c r="L17" s="26">
        <v>136876</v>
      </c>
      <c r="M17" s="26">
        <v>158398</v>
      </c>
      <c r="N17" s="26">
        <v>156186</v>
      </c>
      <c r="O17" s="26">
        <v>166571</v>
      </c>
      <c r="P17" s="26">
        <v>175884</v>
      </c>
      <c r="Q17" s="26">
        <v>177097</v>
      </c>
      <c r="R17" s="26">
        <v>218133</v>
      </c>
      <c r="S17" s="26">
        <v>139504</v>
      </c>
      <c r="T17" s="26">
        <v>208713</v>
      </c>
      <c r="U17" s="26">
        <v>177871</v>
      </c>
      <c r="V17" s="26">
        <v>184338</v>
      </c>
    </row>
    <row r="18" spans="1:22" x14ac:dyDescent="0.2">
      <c r="A18" s="7" t="s">
        <v>80</v>
      </c>
      <c r="B18" s="26">
        <v>104838</v>
      </c>
      <c r="C18" s="26">
        <v>117233</v>
      </c>
      <c r="D18" s="26">
        <v>107315</v>
      </c>
      <c r="E18" s="26">
        <v>119411</v>
      </c>
      <c r="F18" s="26">
        <v>130204</v>
      </c>
      <c r="G18" s="26">
        <v>129452</v>
      </c>
      <c r="H18" s="26">
        <v>126424</v>
      </c>
      <c r="I18" s="26">
        <v>118563</v>
      </c>
      <c r="J18" s="26">
        <v>129563</v>
      </c>
      <c r="K18" s="26">
        <v>136834</v>
      </c>
      <c r="L18" s="26">
        <v>139623</v>
      </c>
      <c r="M18" s="26">
        <v>136718</v>
      </c>
      <c r="N18" s="26">
        <v>137446</v>
      </c>
      <c r="O18" s="26">
        <v>147390</v>
      </c>
      <c r="P18" s="26">
        <v>149080</v>
      </c>
      <c r="Q18" s="26">
        <v>155930</v>
      </c>
      <c r="R18" s="26">
        <v>131871</v>
      </c>
      <c r="S18" s="26">
        <v>133907</v>
      </c>
      <c r="T18" s="26">
        <v>167773</v>
      </c>
      <c r="U18" s="26">
        <v>159705</v>
      </c>
      <c r="V18" s="26">
        <v>163197</v>
      </c>
    </row>
    <row r="19" spans="1:22" x14ac:dyDescent="0.2">
      <c r="A19" s="7" t="s">
        <v>3</v>
      </c>
      <c r="B19" s="26">
        <v>43860</v>
      </c>
      <c r="C19" s="26">
        <v>44717</v>
      </c>
      <c r="D19" s="26">
        <v>47153</v>
      </c>
      <c r="E19" s="26">
        <v>50923</v>
      </c>
      <c r="F19" s="26">
        <v>50455</v>
      </c>
      <c r="G19" s="26">
        <v>56754</v>
      </c>
      <c r="H19" s="26">
        <v>61603</v>
      </c>
      <c r="I19" s="26">
        <v>56407</v>
      </c>
      <c r="J19" s="26">
        <v>59155</v>
      </c>
      <c r="K19" s="26">
        <v>66343</v>
      </c>
      <c r="L19" s="26">
        <v>63291</v>
      </c>
      <c r="M19" s="26">
        <v>70369</v>
      </c>
      <c r="N19" s="26">
        <v>74201</v>
      </c>
      <c r="O19" s="26">
        <v>74068</v>
      </c>
      <c r="P19" s="26">
        <v>77747</v>
      </c>
      <c r="Q19" s="26">
        <v>76726</v>
      </c>
      <c r="R19" s="26">
        <v>76912</v>
      </c>
      <c r="S19" s="26">
        <v>70805</v>
      </c>
      <c r="T19" s="26">
        <v>95710</v>
      </c>
      <c r="U19" s="26">
        <v>77997</v>
      </c>
      <c r="V19" s="26">
        <v>70286</v>
      </c>
    </row>
    <row r="20" spans="1:22" x14ac:dyDescent="0.2">
      <c r="A20" s="7" t="s">
        <v>4</v>
      </c>
      <c r="B20" s="26">
        <v>100575</v>
      </c>
      <c r="C20" s="26">
        <v>119422</v>
      </c>
      <c r="D20" s="26">
        <v>123031</v>
      </c>
      <c r="E20" s="26">
        <v>126800</v>
      </c>
      <c r="F20" s="26">
        <v>127841</v>
      </c>
      <c r="G20" s="26">
        <v>120859</v>
      </c>
      <c r="H20" s="26">
        <v>121257</v>
      </c>
      <c r="I20" s="26">
        <v>112671</v>
      </c>
      <c r="J20" s="26">
        <v>124006</v>
      </c>
      <c r="K20" s="26">
        <v>125855</v>
      </c>
      <c r="L20" s="26">
        <v>131509</v>
      </c>
      <c r="M20" s="26">
        <v>130916</v>
      </c>
      <c r="N20" s="26">
        <v>122228</v>
      </c>
      <c r="O20" s="26">
        <v>121329</v>
      </c>
      <c r="P20" s="26">
        <v>129009</v>
      </c>
      <c r="Q20" s="26">
        <v>131950</v>
      </c>
      <c r="R20" s="26">
        <v>131419</v>
      </c>
      <c r="S20" s="26">
        <v>123633</v>
      </c>
      <c r="T20" s="26">
        <v>148806</v>
      </c>
      <c r="U20" s="26">
        <v>132726</v>
      </c>
      <c r="V20" s="26">
        <v>132088</v>
      </c>
    </row>
    <row r="21" spans="1:22" s="48" customFormat="1" x14ac:dyDescent="0.2">
      <c r="A21" s="49" t="s">
        <v>0</v>
      </c>
      <c r="B21" s="71">
        <v>996620.56921816128</v>
      </c>
      <c r="C21" s="71">
        <v>1092560.6972877281</v>
      </c>
      <c r="D21" s="71">
        <v>1043273.5454510329</v>
      </c>
      <c r="E21" s="71">
        <v>1077314.4515894069</v>
      </c>
      <c r="F21" s="71">
        <v>1109662.793830584</v>
      </c>
      <c r="G21" s="71">
        <v>1141484.0474473645</v>
      </c>
      <c r="H21" s="71">
        <v>1131137.8145484733</v>
      </c>
      <c r="I21" s="71">
        <v>1103442.3509346899</v>
      </c>
      <c r="J21" s="71">
        <v>1191827.2756548212</v>
      </c>
      <c r="K21" s="71">
        <v>1253640.3166382122</v>
      </c>
      <c r="L21" s="71">
        <v>1251039.1523736501</v>
      </c>
      <c r="M21" s="71">
        <v>1329601.4193437647</v>
      </c>
      <c r="N21" s="71">
        <v>1283490.1205917553</v>
      </c>
      <c r="O21" s="71">
        <v>1325421.0644545169</v>
      </c>
      <c r="P21" s="71">
        <v>1416607.1546964925</v>
      </c>
      <c r="Q21" s="71">
        <v>1397618.4148805544</v>
      </c>
      <c r="R21" s="71">
        <v>1471750.5226557124</v>
      </c>
      <c r="S21" s="71">
        <v>1346328</v>
      </c>
      <c r="T21" s="71">
        <v>1663213.0301040651</v>
      </c>
      <c r="U21" s="71">
        <v>1490801.8423988861</v>
      </c>
      <c r="V21" s="71">
        <v>1482855.9213604962</v>
      </c>
    </row>
  </sheetData>
  <phoneticPr fontId="1" type="noConversion"/>
  <hyperlinks>
    <hyperlink ref="A2" location="Sommaire!A1" display="Retour au menu &quot;Exploitation des films&quot;" xr:uid="{00000000-0004-0000-1900-000000000000}"/>
  </hyperlinks>
  <pageMargins left="0.78740157499999996" right="0.78740157499999996" top="0.984251969" bottom="0.984251969" header="0.4921259845" footer="0.492125984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21"/>
  <sheetViews>
    <sheetView workbookViewId="0"/>
  </sheetViews>
  <sheetFormatPr baseColWidth="10" defaultColWidth="5.5703125" defaultRowHeight="12" x14ac:dyDescent="0.2"/>
  <cols>
    <col min="1" max="1" width="29.85546875" style="46" customWidth="1"/>
    <col min="2" max="2" width="5.42578125" style="46" bestFit="1" customWidth="1"/>
    <col min="3" max="16" width="5.42578125" style="47" bestFit="1" customWidth="1"/>
    <col min="17" max="17" width="5.4257812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88</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4">
        <v>5154994</v>
      </c>
      <c r="C8" s="24">
        <v>4603050</v>
      </c>
      <c r="D8" s="24">
        <v>5063518</v>
      </c>
      <c r="E8" s="24">
        <v>4609782</v>
      </c>
      <c r="F8" s="24">
        <v>4775050</v>
      </c>
      <c r="G8" s="24">
        <v>4762755</v>
      </c>
      <c r="H8" s="24">
        <v>4657782</v>
      </c>
      <c r="I8" s="24">
        <v>4981750</v>
      </c>
      <c r="J8" s="24">
        <v>4343298</v>
      </c>
      <c r="K8" s="24">
        <v>4261838</v>
      </c>
      <c r="L8" s="24">
        <v>4684628</v>
      </c>
      <c r="M8" s="24">
        <v>4800174</v>
      </c>
      <c r="N8" s="24">
        <v>5069481</v>
      </c>
      <c r="O8" s="24">
        <v>4886996</v>
      </c>
      <c r="P8" s="24">
        <v>5074537</v>
      </c>
      <c r="Q8" s="24">
        <v>5154645</v>
      </c>
      <c r="R8" s="24">
        <v>2833714</v>
      </c>
      <c r="S8" s="24">
        <v>3156366</v>
      </c>
      <c r="T8" s="24">
        <v>4603847</v>
      </c>
      <c r="U8" s="24">
        <v>4968513</v>
      </c>
      <c r="V8" s="24">
        <v>5082395</v>
      </c>
    </row>
    <row r="9" spans="1:22" x14ac:dyDescent="0.2">
      <c r="A9" s="7" t="s">
        <v>73</v>
      </c>
      <c r="B9" s="24">
        <v>1357024</v>
      </c>
      <c r="C9" s="24">
        <v>1332435</v>
      </c>
      <c r="D9" s="24">
        <v>1403878</v>
      </c>
      <c r="E9" s="24">
        <v>1216171</v>
      </c>
      <c r="F9" s="24">
        <v>1301822</v>
      </c>
      <c r="G9" s="24">
        <v>1338994</v>
      </c>
      <c r="H9" s="24">
        <v>1234615</v>
      </c>
      <c r="I9" s="24">
        <v>1437935</v>
      </c>
      <c r="J9" s="24">
        <v>1422314</v>
      </c>
      <c r="K9" s="24">
        <v>1230336</v>
      </c>
      <c r="L9" s="24">
        <v>1376814</v>
      </c>
      <c r="M9" s="24">
        <v>1440336</v>
      </c>
      <c r="N9" s="24">
        <v>1442795</v>
      </c>
      <c r="O9" s="24">
        <v>1419252</v>
      </c>
      <c r="P9" s="24">
        <v>1486317</v>
      </c>
      <c r="Q9" s="24">
        <v>1555871</v>
      </c>
      <c r="R9" s="24">
        <v>777497</v>
      </c>
      <c r="S9" s="24">
        <v>826785</v>
      </c>
      <c r="T9" s="24">
        <v>1097881</v>
      </c>
      <c r="U9" s="24">
        <v>1246857</v>
      </c>
      <c r="V9" s="24">
        <v>1415214</v>
      </c>
    </row>
    <row r="10" spans="1:22" x14ac:dyDescent="0.2">
      <c r="A10" s="7" t="s">
        <v>1</v>
      </c>
      <c r="B10" s="24">
        <v>2100214</v>
      </c>
      <c r="C10" s="24">
        <v>1962650</v>
      </c>
      <c r="D10" s="24">
        <v>2042970</v>
      </c>
      <c r="E10" s="24">
        <v>1978040</v>
      </c>
      <c r="F10" s="24">
        <v>1887286</v>
      </c>
      <c r="G10" s="24">
        <v>1882765</v>
      </c>
      <c r="H10" s="24">
        <v>1845763</v>
      </c>
      <c r="I10" s="24">
        <v>2067024</v>
      </c>
      <c r="J10" s="24">
        <v>1947526</v>
      </c>
      <c r="K10" s="24">
        <v>1778538</v>
      </c>
      <c r="L10" s="24">
        <v>2017024</v>
      </c>
      <c r="M10" s="24">
        <v>2024427</v>
      </c>
      <c r="N10" s="24">
        <v>2200640</v>
      </c>
      <c r="O10" s="24">
        <v>2131001</v>
      </c>
      <c r="P10" s="24">
        <v>2081132</v>
      </c>
      <c r="Q10" s="24">
        <v>2305348</v>
      </c>
      <c r="R10" s="24">
        <v>1522618</v>
      </c>
      <c r="S10" s="24">
        <v>1651395</v>
      </c>
      <c r="T10" s="24">
        <v>1894099</v>
      </c>
      <c r="U10" s="24">
        <v>2069383</v>
      </c>
      <c r="V10" s="24">
        <v>2154748</v>
      </c>
    </row>
    <row r="11" spans="1:22" x14ac:dyDescent="0.2">
      <c r="A11" s="7" t="s">
        <v>74</v>
      </c>
      <c r="B11" s="24">
        <v>1077849</v>
      </c>
      <c r="C11" s="24">
        <v>1037636</v>
      </c>
      <c r="D11" s="24">
        <v>1059755</v>
      </c>
      <c r="E11" s="24">
        <v>980224</v>
      </c>
      <c r="F11" s="24">
        <v>1098682</v>
      </c>
      <c r="G11" s="24">
        <v>960633</v>
      </c>
      <c r="H11" s="24">
        <v>1001531</v>
      </c>
      <c r="I11" s="24">
        <v>1046694</v>
      </c>
      <c r="J11" s="24">
        <v>1030742</v>
      </c>
      <c r="K11" s="24">
        <v>937449</v>
      </c>
      <c r="L11" s="24">
        <v>994787</v>
      </c>
      <c r="M11" s="24">
        <v>1051085</v>
      </c>
      <c r="N11" s="24">
        <v>1099073</v>
      </c>
      <c r="O11" s="24">
        <v>1162023</v>
      </c>
      <c r="P11" s="24">
        <v>1157373</v>
      </c>
      <c r="Q11" s="24">
        <v>1209850</v>
      </c>
      <c r="R11" s="24">
        <v>607490</v>
      </c>
      <c r="S11" s="24">
        <v>700061</v>
      </c>
      <c r="T11" s="24">
        <v>861230</v>
      </c>
      <c r="U11" s="24">
        <v>1036895</v>
      </c>
      <c r="V11" s="24">
        <v>967942</v>
      </c>
    </row>
    <row r="12" spans="1:22" x14ac:dyDescent="0.2">
      <c r="A12" s="7" t="s">
        <v>5</v>
      </c>
      <c r="B12" s="24">
        <v>229358</v>
      </c>
      <c r="C12" s="24">
        <v>179021</v>
      </c>
      <c r="D12" s="24">
        <v>180249</v>
      </c>
      <c r="E12" s="24">
        <v>193431</v>
      </c>
      <c r="F12" s="24">
        <v>196730</v>
      </c>
      <c r="G12" s="24">
        <v>246815</v>
      </c>
      <c r="H12" s="24">
        <v>271538</v>
      </c>
      <c r="I12" s="24">
        <v>304895</v>
      </c>
      <c r="J12" s="24">
        <v>351625</v>
      </c>
      <c r="K12" s="24">
        <v>335372</v>
      </c>
      <c r="L12" s="24">
        <v>208194</v>
      </c>
      <c r="M12" s="24">
        <v>202839</v>
      </c>
      <c r="N12" s="24">
        <v>238716</v>
      </c>
      <c r="O12" s="24">
        <v>227724</v>
      </c>
      <c r="P12" s="24">
        <v>205551</v>
      </c>
      <c r="Q12" s="24">
        <v>277718</v>
      </c>
      <c r="R12" s="24">
        <v>111135</v>
      </c>
      <c r="S12" s="24">
        <v>188170</v>
      </c>
      <c r="T12" s="24">
        <v>166091</v>
      </c>
      <c r="U12" s="24">
        <v>252336</v>
      </c>
      <c r="V12" s="24">
        <v>245276</v>
      </c>
    </row>
    <row r="13" spans="1:22" x14ac:dyDescent="0.2">
      <c r="A13" s="7" t="s">
        <v>77</v>
      </c>
      <c r="B13" s="24">
        <v>1657704</v>
      </c>
      <c r="C13" s="24">
        <v>1413315</v>
      </c>
      <c r="D13" s="24">
        <v>1502243</v>
      </c>
      <c r="E13" s="24">
        <v>1509521</v>
      </c>
      <c r="F13" s="24">
        <v>1394458</v>
      </c>
      <c r="G13" s="24">
        <v>1416001</v>
      </c>
      <c r="H13" s="24">
        <v>1470808</v>
      </c>
      <c r="I13" s="24">
        <v>1664419</v>
      </c>
      <c r="J13" s="24">
        <v>1502411</v>
      </c>
      <c r="K13" s="24">
        <v>1508946</v>
      </c>
      <c r="L13" s="24">
        <v>1578145</v>
      </c>
      <c r="M13" s="24">
        <v>1528200</v>
      </c>
      <c r="N13" s="24">
        <v>1669452</v>
      </c>
      <c r="O13" s="24">
        <v>1623056</v>
      </c>
      <c r="P13" s="24">
        <v>1805638</v>
      </c>
      <c r="Q13" s="24">
        <v>1672360</v>
      </c>
      <c r="R13" s="24">
        <v>1317299</v>
      </c>
      <c r="S13" s="24">
        <v>1343381</v>
      </c>
      <c r="T13" s="24">
        <v>1476101</v>
      </c>
      <c r="U13" s="24">
        <v>1603866</v>
      </c>
      <c r="V13" s="24">
        <v>1683335</v>
      </c>
    </row>
    <row r="14" spans="1:22" x14ac:dyDescent="0.2">
      <c r="A14" s="7" t="s">
        <v>78</v>
      </c>
      <c r="B14" s="24">
        <v>1956157</v>
      </c>
      <c r="C14" s="24">
        <v>1838021</v>
      </c>
      <c r="D14" s="24">
        <v>1900126</v>
      </c>
      <c r="E14" s="24">
        <v>1725124</v>
      </c>
      <c r="F14" s="24">
        <v>1866628</v>
      </c>
      <c r="G14" s="24">
        <v>1700340</v>
      </c>
      <c r="H14" s="24">
        <v>1677159</v>
      </c>
      <c r="I14" s="24">
        <v>1941465</v>
      </c>
      <c r="J14" s="24">
        <v>1682699</v>
      </c>
      <c r="K14" s="24">
        <v>1642011</v>
      </c>
      <c r="L14" s="24">
        <v>1828376</v>
      </c>
      <c r="M14" s="24">
        <v>1761427</v>
      </c>
      <c r="N14" s="24">
        <v>1893963</v>
      </c>
      <c r="O14" s="24">
        <v>1877774</v>
      </c>
      <c r="P14" s="24">
        <v>1886447</v>
      </c>
      <c r="Q14" s="24">
        <v>1949007</v>
      </c>
      <c r="R14" s="24">
        <v>1348840</v>
      </c>
      <c r="S14" s="24">
        <v>1730145</v>
      </c>
      <c r="T14" s="24">
        <v>1729172</v>
      </c>
      <c r="U14" s="24">
        <v>1859804</v>
      </c>
      <c r="V14" s="24">
        <v>1815930</v>
      </c>
    </row>
    <row r="15" spans="1:22" x14ac:dyDescent="0.2">
      <c r="A15" s="7" t="s">
        <v>2</v>
      </c>
      <c r="B15" s="24">
        <v>4843696.4763944158</v>
      </c>
      <c r="C15" s="24">
        <v>4604954.5023190789</v>
      </c>
      <c r="D15" s="24">
        <v>4825903.8204648094</v>
      </c>
      <c r="E15" s="24">
        <v>4574492.6056117807</v>
      </c>
      <c r="F15" s="24">
        <v>4642228.486304176</v>
      </c>
      <c r="G15" s="24">
        <v>4705348.6891414905</v>
      </c>
      <c r="H15" s="24">
        <v>4608020.1840481367</v>
      </c>
      <c r="I15" s="24">
        <v>4547015.3639664734</v>
      </c>
      <c r="J15" s="24">
        <v>4771876.6485828031</v>
      </c>
      <c r="K15" s="24">
        <v>4975315.2872322546</v>
      </c>
      <c r="L15" s="24">
        <v>4975772.5559151992</v>
      </c>
      <c r="M15" s="24">
        <v>4817495.474454008</v>
      </c>
      <c r="N15" s="24">
        <v>4756048.5984734967</v>
      </c>
      <c r="O15" s="24">
        <v>4954680.3820609152</v>
      </c>
      <c r="P15" s="24">
        <v>4817180.3025552873</v>
      </c>
      <c r="Q15" s="24">
        <v>4818822.40508103</v>
      </c>
      <c r="R15" s="24">
        <v>3189680.9111184101</v>
      </c>
      <c r="S15" s="24">
        <v>3695298</v>
      </c>
      <c r="T15" s="24">
        <v>4872258.7954600239</v>
      </c>
      <c r="U15" s="24">
        <v>4799881.9225192415</v>
      </c>
      <c r="V15" s="24">
        <v>4864234.0343711525</v>
      </c>
    </row>
    <row r="16" spans="1:22" x14ac:dyDescent="0.2">
      <c r="A16" s="7" t="s">
        <v>75</v>
      </c>
      <c r="B16" s="24">
        <v>1483830</v>
      </c>
      <c r="C16" s="24">
        <v>1501137</v>
      </c>
      <c r="D16" s="24">
        <v>1604154</v>
      </c>
      <c r="E16" s="24">
        <v>1580676</v>
      </c>
      <c r="F16" s="24">
        <v>1683579</v>
      </c>
      <c r="G16" s="24">
        <v>1693578</v>
      </c>
      <c r="H16" s="24">
        <v>1763767</v>
      </c>
      <c r="I16" s="24">
        <v>1647636</v>
      </c>
      <c r="J16" s="24">
        <v>1728883</v>
      </c>
      <c r="K16" s="24">
        <v>1584202</v>
      </c>
      <c r="L16" s="24">
        <v>1659472</v>
      </c>
      <c r="M16" s="24">
        <v>1693931</v>
      </c>
      <c r="N16" s="24">
        <v>1575997</v>
      </c>
      <c r="O16" s="24">
        <v>1745667</v>
      </c>
      <c r="P16" s="24">
        <v>1796495</v>
      </c>
      <c r="Q16" s="24">
        <v>1731169</v>
      </c>
      <c r="R16" s="24">
        <v>1202865</v>
      </c>
      <c r="S16" s="24">
        <v>1523724</v>
      </c>
      <c r="T16" s="24">
        <v>1675411</v>
      </c>
      <c r="U16" s="24">
        <v>1929423</v>
      </c>
      <c r="V16" s="24">
        <v>1846418</v>
      </c>
    </row>
    <row r="17" spans="1:22" x14ac:dyDescent="0.2">
      <c r="A17" s="7" t="s">
        <v>79</v>
      </c>
      <c r="B17" s="24">
        <v>3255602</v>
      </c>
      <c r="C17" s="24">
        <v>3106330</v>
      </c>
      <c r="D17" s="24">
        <v>3122001</v>
      </c>
      <c r="E17" s="24">
        <v>3103855</v>
      </c>
      <c r="F17" s="24">
        <v>3034608</v>
      </c>
      <c r="G17" s="24">
        <v>3117605</v>
      </c>
      <c r="H17" s="24">
        <v>3072438</v>
      </c>
      <c r="I17" s="24">
        <v>3294822</v>
      </c>
      <c r="J17" s="24">
        <v>3119912</v>
      </c>
      <c r="K17" s="24">
        <v>2893980</v>
      </c>
      <c r="L17" s="24">
        <v>3156908</v>
      </c>
      <c r="M17" s="24">
        <v>3292334</v>
      </c>
      <c r="N17" s="24">
        <v>3318675</v>
      </c>
      <c r="O17" s="24">
        <v>3319294</v>
      </c>
      <c r="P17" s="24">
        <v>3404067</v>
      </c>
      <c r="Q17" s="24">
        <v>3579445</v>
      </c>
      <c r="R17" s="24">
        <v>2719865</v>
      </c>
      <c r="S17" s="24">
        <v>2202330</v>
      </c>
      <c r="T17" s="24">
        <v>3113484</v>
      </c>
      <c r="U17" s="24">
        <v>3149864</v>
      </c>
      <c r="V17" s="24">
        <v>3404112</v>
      </c>
    </row>
    <row r="18" spans="1:22" x14ac:dyDescent="0.2">
      <c r="A18" s="7" t="s">
        <v>80</v>
      </c>
      <c r="B18" s="24">
        <v>3139608</v>
      </c>
      <c r="C18" s="24">
        <v>2954591</v>
      </c>
      <c r="D18" s="24">
        <v>3070796</v>
      </c>
      <c r="E18" s="24">
        <v>3145203</v>
      </c>
      <c r="F18" s="24">
        <v>3138603</v>
      </c>
      <c r="G18" s="24">
        <v>3071711</v>
      </c>
      <c r="H18" s="24">
        <v>3092868</v>
      </c>
      <c r="I18" s="24">
        <v>3157144</v>
      </c>
      <c r="J18" s="24">
        <v>3016583</v>
      </c>
      <c r="K18" s="24">
        <v>2866532</v>
      </c>
      <c r="L18" s="24">
        <v>3015504</v>
      </c>
      <c r="M18" s="24">
        <v>2834652</v>
      </c>
      <c r="N18" s="24">
        <v>3008124</v>
      </c>
      <c r="O18" s="24">
        <v>3007580</v>
      </c>
      <c r="P18" s="24">
        <v>2994563</v>
      </c>
      <c r="Q18" s="24">
        <v>3260944</v>
      </c>
      <c r="R18" s="24">
        <v>1812321</v>
      </c>
      <c r="S18" s="24">
        <v>2039766</v>
      </c>
      <c r="T18" s="24">
        <v>2693552</v>
      </c>
      <c r="U18" s="24">
        <v>2988059</v>
      </c>
      <c r="V18" s="24">
        <v>3161134</v>
      </c>
    </row>
    <row r="19" spans="1:22" x14ac:dyDescent="0.2">
      <c r="A19" s="7" t="s">
        <v>3</v>
      </c>
      <c r="B19" s="24">
        <v>1724928</v>
      </c>
      <c r="C19" s="24">
        <v>1444356</v>
      </c>
      <c r="D19" s="24">
        <v>1769165</v>
      </c>
      <c r="E19" s="24">
        <v>1772688</v>
      </c>
      <c r="F19" s="24">
        <v>1768353</v>
      </c>
      <c r="G19" s="24">
        <v>1802052</v>
      </c>
      <c r="H19" s="24">
        <v>1866366</v>
      </c>
      <c r="I19" s="24">
        <v>1903159</v>
      </c>
      <c r="J19" s="24">
        <v>1804726</v>
      </c>
      <c r="K19" s="24">
        <v>1765927</v>
      </c>
      <c r="L19" s="24">
        <v>1916437</v>
      </c>
      <c r="M19" s="24">
        <v>2103142</v>
      </c>
      <c r="N19" s="24">
        <v>2008152</v>
      </c>
      <c r="O19" s="24">
        <v>2027536</v>
      </c>
      <c r="P19" s="24">
        <v>1980782</v>
      </c>
      <c r="Q19" s="24">
        <v>2121639</v>
      </c>
      <c r="R19" s="24">
        <v>1320159</v>
      </c>
      <c r="S19" s="24">
        <v>1505822</v>
      </c>
      <c r="T19" s="24">
        <v>1893529</v>
      </c>
      <c r="U19" s="24">
        <v>1860383</v>
      </c>
      <c r="V19" s="24">
        <v>1899962</v>
      </c>
    </row>
    <row r="20" spans="1:22" x14ac:dyDescent="0.2">
      <c r="A20" s="7" t="s">
        <v>4</v>
      </c>
      <c r="B20" s="24">
        <v>2753300</v>
      </c>
      <c r="C20" s="24">
        <v>2509401</v>
      </c>
      <c r="D20" s="24">
        <v>2733585</v>
      </c>
      <c r="E20" s="24">
        <v>2667640</v>
      </c>
      <c r="F20" s="24">
        <v>2718580</v>
      </c>
      <c r="G20" s="24">
        <v>2473667</v>
      </c>
      <c r="H20" s="24">
        <v>2576400</v>
      </c>
      <c r="I20" s="24">
        <v>2622337</v>
      </c>
      <c r="J20" s="24">
        <v>2552997</v>
      </c>
      <c r="K20" s="24">
        <v>2384370</v>
      </c>
      <c r="L20" s="24">
        <v>2549181</v>
      </c>
      <c r="M20" s="24">
        <v>2433925</v>
      </c>
      <c r="N20" s="24">
        <v>2360058</v>
      </c>
      <c r="O20" s="24">
        <v>2205228</v>
      </c>
      <c r="P20" s="24">
        <v>2294947</v>
      </c>
      <c r="Q20" s="24">
        <v>2439843</v>
      </c>
      <c r="R20" s="24">
        <v>1482789</v>
      </c>
      <c r="S20" s="24">
        <v>1703501</v>
      </c>
      <c r="T20" s="24">
        <v>2087111</v>
      </c>
      <c r="U20" s="24">
        <v>2235055</v>
      </c>
      <c r="V20" s="24">
        <v>2362281</v>
      </c>
    </row>
    <row r="21" spans="1:22" s="48" customFormat="1" x14ac:dyDescent="0.2">
      <c r="A21" s="49" t="s">
        <v>0</v>
      </c>
      <c r="B21" s="72">
        <v>30734264.476394415</v>
      </c>
      <c r="C21" s="72">
        <v>28486897.502319079</v>
      </c>
      <c r="D21" s="72">
        <v>30278343.820464808</v>
      </c>
      <c r="E21" s="72">
        <v>29056847.605611779</v>
      </c>
      <c r="F21" s="72">
        <v>29506607.486304175</v>
      </c>
      <c r="G21" s="72">
        <v>29172264.68914149</v>
      </c>
      <c r="H21" s="72">
        <v>29139055.184048139</v>
      </c>
      <c r="I21" s="72">
        <v>30616295.363966472</v>
      </c>
      <c r="J21" s="72">
        <v>29275592.648582801</v>
      </c>
      <c r="K21" s="72">
        <v>28164816.287232254</v>
      </c>
      <c r="L21" s="72">
        <v>29961242.555915199</v>
      </c>
      <c r="M21" s="72">
        <v>29983967.474454008</v>
      </c>
      <c r="N21" s="72">
        <v>30641174.598473497</v>
      </c>
      <c r="O21" s="72">
        <v>30587811.382060915</v>
      </c>
      <c r="P21" s="72">
        <v>30985029.302555285</v>
      </c>
      <c r="Q21" s="72">
        <v>32076661.40508103</v>
      </c>
      <c r="R21" s="72">
        <v>20246272.911118411</v>
      </c>
      <c r="S21" s="72">
        <v>22266744</v>
      </c>
      <c r="T21" s="72">
        <v>28163766.795460023</v>
      </c>
      <c r="U21" s="72">
        <v>30000319.922519241</v>
      </c>
      <c r="V21" s="72">
        <v>30902981.034371153</v>
      </c>
    </row>
  </sheetData>
  <phoneticPr fontId="21" type="noConversion"/>
  <hyperlinks>
    <hyperlink ref="A2" location="Sommaire!A1" display="Retour au menu &quot;Exploitation des films&quot;" xr:uid="{00000000-0004-0000-1A00-000000000000}"/>
  </hyperlinks>
  <pageMargins left="0.78740157499999996" right="0.78740157499999996" top="0.984251969" bottom="0.984251969" header="0.4921259845" footer="0.492125984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21"/>
  <sheetViews>
    <sheetView workbookViewId="0"/>
  </sheetViews>
  <sheetFormatPr baseColWidth="10" defaultColWidth="5.5703125" defaultRowHeight="12" x14ac:dyDescent="0.2"/>
  <cols>
    <col min="1" max="1" width="29.85546875" style="46" customWidth="1"/>
    <col min="2" max="2" width="6.42578125" style="46" bestFit="1" customWidth="1"/>
    <col min="3" max="16" width="6.42578125" style="47" bestFit="1" customWidth="1"/>
    <col min="17" max="22" width="6.42578125" style="46" bestFit="1"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87</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4">
        <v>26041889</v>
      </c>
      <c r="C8" s="24">
        <v>23256302</v>
      </c>
      <c r="D8" s="24">
        <v>26179286</v>
      </c>
      <c r="E8" s="24">
        <v>23843335</v>
      </c>
      <c r="F8" s="24">
        <v>25136548</v>
      </c>
      <c r="G8" s="24">
        <v>24731128</v>
      </c>
      <c r="H8" s="24">
        <v>24380093</v>
      </c>
      <c r="I8" s="24">
        <v>26511323</v>
      </c>
      <c r="J8" s="24">
        <v>22991721</v>
      </c>
      <c r="K8" s="24">
        <v>22301129</v>
      </c>
      <c r="L8" s="24">
        <v>24281271</v>
      </c>
      <c r="M8" s="24">
        <v>24809604</v>
      </c>
      <c r="N8" s="24">
        <v>26353558</v>
      </c>
      <c r="O8" s="24">
        <v>25340837</v>
      </c>
      <c r="P8" s="24">
        <v>26350969</v>
      </c>
      <c r="Q8" s="24">
        <v>26964806</v>
      </c>
      <c r="R8" s="24">
        <v>15811075</v>
      </c>
      <c r="S8" s="24">
        <v>17408238</v>
      </c>
      <c r="T8" s="24">
        <v>24283971</v>
      </c>
      <c r="U8" s="24">
        <v>26838867</v>
      </c>
      <c r="V8" s="24">
        <v>27862939</v>
      </c>
    </row>
    <row r="9" spans="1:22" x14ac:dyDescent="0.2">
      <c r="A9" s="7" t="s">
        <v>73</v>
      </c>
      <c r="B9" s="24">
        <v>6570347</v>
      </c>
      <c r="C9" s="24">
        <v>6453997</v>
      </c>
      <c r="D9" s="24">
        <v>6862376</v>
      </c>
      <c r="E9" s="24">
        <v>5871989</v>
      </c>
      <c r="F9" s="24">
        <v>6482268</v>
      </c>
      <c r="G9" s="24">
        <v>6748740</v>
      </c>
      <c r="H9" s="24">
        <v>6142528</v>
      </c>
      <c r="I9" s="24">
        <v>7471280</v>
      </c>
      <c r="J9" s="24">
        <v>7473362</v>
      </c>
      <c r="K9" s="24">
        <v>6347789</v>
      </c>
      <c r="L9" s="24">
        <v>7070360</v>
      </c>
      <c r="M9" s="24">
        <v>7364302</v>
      </c>
      <c r="N9" s="24">
        <v>7371883</v>
      </c>
      <c r="O9" s="24">
        <v>7265716</v>
      </c>
      <c r="P9" s="24">
        <v>7637827</v>
      </c>
      <c r="Q9" s="24">
        <v>8130305</v>
      </c>
      <c r="R9" s="24">
        <v>4326219</v>
      </c>
      <c r="S9" s="24">
        <v>4637032</v>
      </c>
      <c r="T9" s="24">
        <v>5720448</v>
      </c>
      <c r="U9" s="24">
        <v>6742623</v>
      </c>
      <c r="V9" s="24">
        <v>7780476</v>
      </c>
    </row>
    <row r="10" spans="1:22" x14ac:dyDescent="0.2">
      <c r="A10" s="7" t="s">
        <v>1</v>
      </c>
      <c r="B10" s="24">
        <v>9806641</v>
      </c>
      <c r="C10" s="24">
        <v>9192457</v>
      </c>
      <c r="D10" s="24">
        <v>9483807</v>
      </c>
      <c r="E10" s="24">
        <v>9296246</v>
      </c>
      <c r="F10" s="24">
        <v>8896879</v>
      </c>
      <c r="G10" s="24">
        <v>8909995</v>
      </c>
      <c r="H10" s="24">
        <v>8917175</v>
      </c>
      <c r="I10" s="24">
        <v>10172904</v>
      </c>
      <c r="J10" s="24">
        <v>9608643</v>
      </c>
      <c r="K10" s="24">
        <v>8679611</v>
      </c>
      <c r="L10" s="24">
        <v>9756909</v>
      </c>
      <c r="M10" s="24">
        <v>9803585</v>
      </c>
      <c r="N10" s="24">
        <v>10736344</v>
      </c>
      <c r="O10" s="24">
        <v>10422938</v>
      </c>
      <c r="P10" s="24">
        <v>10203069</v>
      </c>
      <c r="Q10" s="24">
        <v>11537327</v>
      </c>
      <c r="R10" s="24">
        <v>8564996</v>
      </c>
      <c r="S10" s="24">
        <v>9051047</v>
      </c>
      <c r="T10" s="24">
        <v>9635104</v>
      </c>
      <c r="U10" s="24">
        <v>10689495</v>
      </c>
      <c r="V10" s="24">
        <v>11579972</v>
      </c>
    </row>
    <row r="11" spans="1:22" x14ac:dyDescent="0.2">
      <c r="A11" s="7" t="s">
        <v>74</v>
      </c>
      <c r="B11" s="24">
        <v>5220286</v>
      </c>
      <c r="C11" s="24">
        <v>5034297</v>
      </c>
      <c r="D11" s="24">
        <v>5279931</v>
      </c>
      <c r="E11" s="24">
        <v>4789734</v>
      </c>
      <c r="F11" s="24">
        <v>5564222</v>
      </c>
      <c r="G11" s="24">
        <v>4766569</v>
      </c>
      <c r="H11" s="24">
        <v>5086637</v>
      </c>
      <c r="I11" s="24">
        <v>5521548</v>
      </c>
      <c r="J11" s="24">
        <v>5526196</v>
      </c>
      <c r="K11" s="24">
        <v>4978002</v>
      </c>
      <c r="L11" s="24">
        <v>5215322</v>
      </c>
      <c r="M11" s="24">
        <v>5620999</v>
      </c>
      <c r="N11" s="24">
        <v>5847605</v>
      </c>
      <c r="O11" s="24">
        <v>6179756</v>
      </c>
      <c r="P11" s="24">
        <v>6275112</v>
      </c>
      <c r="Q11" s="24">
        <v>6512755</v>
      </c>
      <c r="R11" s="24">
        <v>3374922</v>
      </c>
      <c r="S11" s="24">
        <v>4006822</v>
      </c>
      <c r="T11" s="24">
        <v>4440535</v>
      </c>
      <c r="U11" s="24">
        <v>5562236</v>
      </c>
      <c r="V11" s="24">
        <v>5200378</v>
      </c>
    </row>
    <row r="12" spans="1:22" x14ac:dyDescent="0.2">
      <c r="A12" s="7" t="s">
        <v>5</v>
      </c>
      <c r="B12" s="24">
        <v>1289274</v>
      </c>
      <c r="C12" s="24">
        <v>1036417</v>
      </c>
      <c r="D12" s="24">
        <v>1106857</v>
      </c>
      <c r="E12" s="24">
        <v>1308954</v>
      </c>
      <c r="F12" s="24">
        <v>1368317</v>
      </c>
      <c r="G12" s="24">
        <v>1680136</v>
      </c>
      <c r="H12" s="24">
        <v>1874984</v>
      </c>
      <c r="I12" s="24">
        <v>2159707</v>
      </c>
      <c r="J12" s="24">
        <v>2436825</v>
      </c>
      <c r="K12" s="24">
        <v>2293187</v>
      </c>
      <c r="L12" s="24">
        <v>1382735</v>
      </c>
      <c r="M12" s="24">
        <v>1281737</v>
      </c>
      <c r="N12" s="24">
        <v>1484614</v>
      </c>
      <c r="O12" s="24">
        <v>1414216</v>
      </c>
      <c r="P12" s="24">
        <v>1270686</v>
      </c>
      <c r="Q12" s="24">
        <v>1734976</v>
      </c>
      <c r="R12" s="24">
        <v>721791</v>
      </c>
      <c r="S12" s="24">
        <v>1291067</v>
      </c>
      <c r="T12" s="24">
        <v>1032511</v>
      </c>
      <c r="U12" s="24">
        <v>1617224</v>
      </c>
      <c r="V12" s="24">
        <v>1581376</v>
      </c>
    </row>
    <row r="13" spans="1:22" x14ac:dyDescent="0.2">
      <c r="A13" s="7" t="s">
        <v>77</v>
      </c>
      <c r="B13" s="24">
        <v>7731485</v>
      </c>
      <c r="C13" s="24">
        <v>6748569</v>
      </c>
      <c r="D13" s="24">
        <v>7117577</v>
      </c>
      <c r="E13" s="24">
        <v>7177696</v>
      </c>
      <c r="F13" s="24">
        <v>6632702</v>
      </c>
      <c r="G13" s="24">
        <v>6884480</v>
      </c>
      <c r="H13" s="24">
        <v>7295734</v>
      </c>
      <c r="I13" s="24">
        <v>8575617</v>
      </c>
      <c r="J13" s="24">
        <v>7790269</v>
      </c>
      <c r="K13" s="24">
        <v>7799849</v>
      </c>
      <c r="L13" s="24">
        <v>7838192</v>
      </c>
      <c r="M13" s="24">
        <v>7643418</v>
      </c>
      <c r="N13" s="24">
        <v>8289907</v>
      </c>
      <c r="O13" s="24">
        <v>8164180</v>
      </c>
      <c r="P13" s="24">
        <v>9141887</v>
      </c>
      <c r="Q13" s="24">
        <v>8360109</v>
      </c>
      <c r="R13" s="24">
        <v>7624311</v>
      </c>
      <c r="S13" s="24">
        <v>7595268</v>
      </c>
      <c r="T13" s="24">
        <v>7654568</v>
      </c>
      <c r="U13" s="24">
        <v>8403186</v>
      </c>
      <c r="V13" s="24">
        <v>8932159</v>
      </c>
    </row>
    <row r="14" spans="1:22" x14ac:dyDescent="0.2">
      <c r="A14" s="7" t="s">
        <v>78</v>
      </c>
      <c r="B14" s="24">
        <v>7837740</v>
      </c>
      <c r="C14" s="24">
        <v>7642731</v>
      </c>
      <c r="D14" s="24">
        <v>7822395</v>
      </c>
      <c r="E14" s="24">
        <v>6927584</v>
      </c>
      <c r="F14" s="24">
        <v>7778297</v>
      </c>
      <c r="G14" s="24">
        <v>7067121</v>
      </c>
      <c r="H14" s="24">
        <v>6966196</v>
      </c>
      <c r="I14" s="24">
        <v>8440777</v>
      </c>
      <c r="J14" s="24">
        <v>7227105</v>
      </c>
      <c r="K14" s="24">
        <v>7219749</v>
      </c>
      <c r="L14" s="24">
        <v>7990868</v>
      </c>
      <c r="M14" s="24">
        <v>7757989</v>
      </c>
      <c r="N14" s="24">
        <v>8326774</v>
      </c>
      <c r="O14" s="24">
        <v>8258159</v>
      </c>
      <c r="P14" s="24">
        <v>8343393</v>
      </c>
      <c r="Q14" s="24">
        <v>8627426</v>
      </c>
      <c r="R14" s="24">
        <v>7168418</v>
      </c>
      <c r="S14" s="24">
        <v>9411063</v>
      </c>
      <c r="T14" s="24">
        <v>8171602</v>
      </c>
      <c r="U14" s="24">
        <v>8521312</v>
      </c>
      <c r="V14" s="24">
        <v>8545454</v>
      </c>
    </row>
    <row r="15" spans="1:22" x14ac:dyDescent="0.2">
      <c r="A15" s="7" t="s">
        <v>2</v>
      </c>
      <c r="B15" s="24">
        <v>21745559.629671481</v>
      </c>
      <c r="C15" s="24">
        <v>20452602.852231186</v>
      </c>
      <c r="D15" s="24">
        <v>21967302.462979328</v>
      </c>
      <c r="E15" s="24">
        <v>20826132.123555195</v>
      </c>
      <c r="F15" s="24">
        <v>21212934.622449107</v>
      </c>
      <c r="G15" s="24">
        <v>21473142.456907257</v>
      </c>
      <c r="H15" s="24">
        <v>21113987.104295418</v>
      </c>
      <c r="I15" s="24">
        <v>21338560.91923064</v>
      </c>
      <c r="J15" s="24">
        <v>22749729.583694555</v>
      </c>
      <c r="K15" s="24">
        <v>24077603.391379066</v>
      </c>
      <c r="L15" s="24">
        <v>23461820.991209649</v>
      </c>
      <c r="M15" s="24">
        <v>23199596.091220241</v>
      </c>
      <c r="N15" s="24">
        <v>22021759.373085994</v>
      </c>
      <c r="O15" s="24">
        <v>23422332.125964507</v>
      </c>
      <c r="P15" s="24">
        <v>23119559.31988389</v>
      </c>
      <c r="Q15" s="24">
        <v>22758669.289975166</v>
      </c>
      <c r="R15" s="24">
        <v>16763460.04191225</v>
      </c>
      <c r="S15" s="24">
        <v>19467690.299999997</v>
      </c>
      <c r="T15" s="24">
        <v>23660168.273254938</v>
      </c>
      <c r="U15" s="24">
        <v>22940511.64537438</v>
      </c>
      <c r="V15" s="24">
        <v>23661865.29079669</v>
      </c>
    </row>
    <row r="16" spans="1:22" x14ac:dyDescent="0.2">
      <c r="A16" s="7" t="s">
        <v>75</v>
      </c>
      <c r="B16" s="24">
        <v>6808852</v>
      </c>
      <c r="C16" s="24">
        <v>7081248</v>
      </c>
      <c r="D16" s="24">
        <v>7547155</v>
      </c>
      <c r="E16" s="24">
        <v>7556329</v>
      </c>
      <c r="F16" s="24">
        <v>8280162</v>
      </c>
      <c r="G16" s="24">
        <v>8298753</v>
      </c>
      <c r="H16" s="24">
        <v>8826586</v>
      </c>
      <c r="I16" s="24">
        <v>8250753</v>
      </c>
      <c r="J16" s="24">
        <v>8918524</v>
      </c>
      <c r="K16" s="24">
        <v>8114959</v>
      </c>
      <c r="L16" s="24">
        <v>8231225</v>
      </c>
      <c r="M16" s="24">
        <v>8443922</v>
      </c>
      <c r="N16" s="24">
        <v>7734696</v>
      </c>
      <c r="O16" s="24">
        <v>8771737</v>
      </c>
      <c r="P16" s="24">
        <v>9160915</v>
      </c>
      <c r="Q16" s="24">
        <v>8640541</v>
      </c>
      <c r="R16" s="24">
        <v>6429221</v>
      </c>
      <c r="S16" s="24">
        <v>8275761</v>
      </c>
      <c r="T16" s="24">
        <v>8910852</v>
      </c>
      <c r="U16" s="24">
        <v>10518511</v>
      </c>
      <c r="V16" s="24">
        <v>10118826</v>
      </c>
    </row>
    <row r="17" spans="1:22" x14ac:dyDescent="0.2">
      <c r="A17" s="7" t="s">
        <v>79</v>
      </c>
      <c r="B17" s="24">
        <v>14828885</v>
      </c>
      <c r="C17" s="24">
        <v>14387867</v>
      </c>
      <c r="D17" s="24">
        <v>14639432</v>
      </c>
      <c r="E17" s="24">
        <v>14625514</v>
      </c>
      <c r="F17" s="24">
        <v>14521523</v>
      </c>
      <c r="G17" s="24">
        <v>15162426</v>
      </c>
      <c r="H17" s="24">
        <v>15008366</v>
      </c>
      <c r="I17" s="24">
        <v>16709148</v>
      </c>
      <c r="J17" s="24">
        <v>16008406</v>
      </c>
      <c r="K17" s="24">
        <v>14650547</v>
      </c>
      <c r="L17" s="24">
        <v>15935936</v>
      </c>
      <c r="M17" s="24">
        <v>16757742</v>
      </c>
      <c r="N17" s="24">
        <v>16753020</v>
      </c>
      <c r="O17" s="24">
        <v>16729755</v>
      </c>
      <c r="P17" s="24">
        <v>17165686</v>
      </c>
      <c r="Q17" s="24">
        <v>18303802</v>
      </c>
      <c r="R17" s="24">
        <v>15728806</v>
      </c>
      <c r="S17" s="24">
        <v>11929655</v>
      </c>
      <c r="T17" s="24">
        <v>16402140</v>
      </c>
      <c r="U17" s="24">
        <v>16605731</v>
      </c>
      <c r="V17" s="24">
        <v>18517129</v>
      </c>
    </row>
    <row r="18" spans="1:22" x14ac:dyDescent="0.2">
      <c r="A18" s="7" t="s">
        <v>80</v>
      </c>
      <c r="B18" s="24">
        <v>14562780</v>
      </c>
      <c r="C18" s="24">
        <v>13742202</v>
      </c>
      <c r="D18" s="24">
        <v>14299655</v>
      </c>
      <c r="E18" s="24">
        <v>14794143</v>
      </c>
      <c r="F18" s="24">
        <v>15130793</v>
      </c>
      <c r="G18" s="24">
        <v>14963466</v>
      </c>
      <c r="H18" s="24">
        <v>15214095</v>
      </c>
      <c r="I18" s="24">
        <v>15920375</v>
      </c>
      <c r="J18" s="24">
        <v>15591693</v>
      </c>
      <c r="K18" s="24">
        <v>14780410</v>
      </c>
      <c r="L18" s="24">
        <v>15406493</v>
      </c>
      <c r="M18" s="24">
        <v>14290452</v>
      </c>
      <c r="N18" s="24">
        <v>15154444</v>
      </c>
      <c r="O18" s="24">
        <v>15172358</v>
      </c>
      <c r="P18" s="24">
        <v>14952591</v>
      </c>
      <c r="Q18" s="24">
        <v>16436761</v>
      </c>
      <c r="R18" s="24">
        <v>9765924</v>
      </c>
      <c r="S18" s="24">
        <v>10658163</v>
      </c>
      <c r="T18" s="24">
        <v>13597322</v>
      </c>
      <c r="U18" s="24">
        <v>15356248</v>
      </c>
      <c r="V18" s="24">
        <v>16685516</v>
      </c>
    </row>
    <row r="19" spans="1:22" x14ac:dyDescent="0.2">
      <c r="A19" s="7" t="s">
        <v>3</v>
      </c>
      <c r="B19" s="24">
        <v>7899531</v>
      </c>
      <c r="C19" s="24">
        <v>6557923</v>
      </c>
      <c r="D19" s="24">
        <v>8286539</v>
      </c>
      <c r="E19" s="24">
        <v>8324041</v>
      </c>
      <c r="F19" s="24">
        <v>8436872</v>
      </c>
      <c r="G19" s="24">
        <v>8613425</v>
      </c>
      <c r="H19" s="24">
        <v>8896089</v>
      </c>
      <c r="I19" s="24">
        <v>9219208</v>
      </c>
      <c r="J19" s="24">
        <v>8694291</v>
      </c>
      <c r="K19" s="24">
        <v>8493136</v>
      </c>
      <c r="L19" s="24">
        <v>9209784</v>
      </c>
      <c r="M19" s="24">
        <v>10300012</v>
      </c>
      <c r="N19" s="24">
        <v>9463645</v>
      </c>
      <c r="O19" s="24">
        <v>9514784</v>
      </c>
      <c r="P19" s="24">
        <v>9491336</v>
      </c>
      <c r="Q19" s="24">
        <v>10155190</v>
      </c>
      <c r="R19" s="24">
        <v>7141286</v>
      </c>
      <c r="S19" s="24">
        <v>8121293</v>
      </c>
      <c r="T19" s="24">
        <v>9433236</v>
      </c>
      <c r="U19" s="24">
        <v>9118730</v>
      </c>
      <c r="V19" s="24">
        <v>9757276</v>
      </c>
    </row>
    <row r="20" spans="1:22" x14ac:dyDescent="0.2">
      <c r="A20" s="7" t="s">
        <v>4</v>
      </c>
      <c r="B20" s="24">
        <v>13603843</v>
      </c>
      <c r="C20" s="24">
        <v>12490661</v>
      </c>
      <c r="D20" s="24">
        <v>13717627</v>
      </c>
      <c r="E20" s="24">
        <v>13470737</v>
      </c>
      <c r="F20" s="24">
        <v>14011035</v>
      </c>
      <c r="G20" s="24">
        <v>12621427</v>
      </c>
      <c r="H20" s="24">
        <v>13379078</v>
      </c>
      <c r="I20" s="24">
        <v>13799807</v>
      </c>
      <c r="J20" s="24">
        <v>13696443</v>
      </c>
      <c r="K20" s="24">
        <v>12899824</v>
      </c>
      <c r="L20" s="24">
        <v>13549297</v>
      </c>
      <c r="M20" s="24">
        <v>12895837</v>
      </c>
      <c r="N20" s="24">
        <v>12618898</v>
      </c>
      <c r="O20" s="24">
        <v>11713713</v>
      </c>
      <c r="P20" s="24">
        <v>12198479</v>
      </c>
      <c r="Q20" s="24">
        <v>13125959</v>
      </c>
      <c r="R20" s="24">
        <v>8525234</v>
      </c>
      <c r="S20" s="24">
        <v>9861131</v>
      </c>
      <c r="T20" s="24">
        <v>11324166</v>
      </c>
      <c r="U20" s="24">
        <v>12205800</v>
      </c>
      <c r="V20" s="24">
        <v>13140101</v>
      </c>
    </row>
    <row r="21" spans="1:22" s="48" customFormat="1" x14ac:dyDescent="0.2">
      <c r="A21" s="49" t="s">
        <v>0</v>
      </c>
      <c r="B21" s="72">
        <v>143947112.62967148</v>
      </c>
      <c r="C21" s="72">
        <v>134077273.85223119</v>
      </c>
      <c r="D21" s="72">
        <v>144309939.46297932</v>
      </c>
      <c r="E21" s="72">
        <v>138812434.12355518</v>
      </c>
      <c r="F21" s="72">
        <v>143452552.6224491</v>
      </c>
      <c r="G21" s="72">
        <v>141920808.45690727</v>
      </c>
      <c r="H21" s="72">
        <v>143101548.10429543</v>
      </c>
      <c r="I21" s="72">
        <v>154091007.91923064</v>
      </c>
      <c r="J21" s="72">
        <v>148713207.58369455</v>
      </c>
      <c r="K21" s="72">
        <v>142635795.39137906</v>
      </c>
      <c r="L21" s="72">
        <v>149330212.99120966</v>
      </c>
      <c r="M21" s="72">
        <v>150169195.09122026</v>
      </c>
      <c r="N21" s="72">
        <v>152157147.37308598</v>
      </c>
      <c r="O21" s="72">
        <v>152370481.12596452</v>
      </c>
      <c r="P21" s="72">
        <v>155311509.31988388</v>
      </c>
      <c r="Q21" s="72">
        <v>161288626.28997517</v>
      </c>
      <c r="R21" s="72">
        <v>111945663.04191226</v>
      </c>
      <c r="S21" s="72">
        <v>121714230.3</v>
      </c>
      <c r="T21" s="72">
        <v>144266623.27325493</v>
      </c>
      <c r="U21" s="72">
        <v>155120474.64537439</v>
      </c>
      <c r="V21" s="72">
        <v>163363467.2907967</v>
      </c>
    </row>
  </sheetData>
  <phoneticPr fontId="21" type="noConversion"/>
  <hyperlinks>
    <hyperlink ref="A2" location="Sommaire!A1" display="Retour au menu &quot;Exploitation des films&quot;" xr:uid="{00000000-0004-0000-1B00-000000000000}"/>
  </hyperlinks>
  <pageMargins left="0.78740157499999996" right="0.78740157499999996" top="0.984251969" bottom="0.984251969" header="0.4921259845" footer="0.492125984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86</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3">
        <v>5.0517787217599093</v>
      </c>
      <c r="C8" s="73">
        <v>5.052367886510031</v>
      </c>
      <c r="D8" s="73">
        <v>5.170177335204496</v>
      </c>
      <c r="E8" s="73">
        <v>5.1723346136541819</v>
      </c>
      <c r="F8" s="73">
        <v>5.2641434121108679</v>
      </c>
      <c r="G8" s="73">
        <v>5.1926097395310071</v>
      </c>
      <c r="H8" s="73">
        <v>5.2342709469872144</v>
      </c>
      <c r="I8" s="73">
        <v>5.3216887639885586</v>
      </c>
      <c r="J8" s="73">
        <v>5.2936089119374268</v>
      </c>
      <c r="K8" s="73">
        <v>5.232749109656444</v>
      </c>
      <c r="L8" s="73">
        <v>5.1831801799417159</v>
      </c>
      <c r="M8" s="73">
        <v>5.1684801425948308</v>
      </c>
      <c r="N8" s="73">
        <v>5.1984725852607001</v>
      </c>
      <c r="O8" s="73">
        <v>5.1853607001110706</v>
      </c>
      <c r="P8" s="73">
        <v>5.1927829080761461</v>
      </c>
      <c r="Q8" s="73">
        <v>5.2311664527819079</v>
      </c>
      <c r="R8" s="73">
        <v>5.5796297720941492</v>
      </c>
      <c r="S8" s="73">
        <v>5.5152786463927184</v>
      </c>
      <c r="T8" s="73">
        <v>5.2747128651321384</v>
      </c>
      <c r="U8" s="73">
        <v>5.4017906363533719</v>
      </c>
      <c r="V8" s="73">
        <v>5.4822458703032728</v>
      </c>
    </row>
    <row r="9" spans="1:22" x14ac:dyDescent="0.2">
      <c r="A9" s="7" t="s">
        <v>73</v>
      </c>
      <c r="B9" s="73">
        <v>4.8417323496120925</v>
      </c>
      <c r="C9" s="73">
        <v>4.8437612341314962</v>
      </c>
      <c r="D9" s="73">
        <v>4.8881569481108755</v>
      </c>
      <c r="E9" s="73">
        <v>4.8282593483975527</v>
      </c>
      <c r="F9" s="73">
        <v>4.979381205725514</v>
      </c>
      <c r="G9" s="73">
        <v>5.0401570133996119</v>
      </c>
      <c r="H9" s="73">
        <v>4.9752578739121098</v>
      </c>
      <c r="I9" s="73">
        <v>5.1958398675878952</v>
      </c>
      <c r="J9" s="73">
        <v>5.2543685852772315</v>
      </c>
      <c r="K9" s="73">
        <v>5.1593946694236372</v>
      </c>
      <c r="L9" s="73">
        <v>5.135305131993138</v>
      </c>
      <c r="M9" s="73">
        <v>5.1129055998044901</v>
      </c>
      <c r="N9" s="73">
        <v>5.1094459018779519</v>
      </c>
      <c r="O9" s="73">
        <v>5.119398105480915</v>
      </c>
      <c r="P9" s="73">
        <v>5.1387604393948259</v>
      </c>
      <c r="Q9" s="73">
        <v>5.2255649729315605</v>
      </c>
      <c r="R9" s="73">
        <v>5.5642902802197307</v>
      </c>
      <c r="S9" s="73">
        <v>5.608510072146931</v>
      </c>
      <c r="T9" s="73">
        <v>5.2104444835095975</v>
      </c>
      <c r="U9" s="73">
        <v>5.4076955095893116</v>
      </c>
      <c r="V9" s="73">
        <v>5.4977381512619292</v>
      </c>
    </row>
    <row r="10" spans="1:22" x14ac:dyDescent="0.2">
      <c r="A10" s="7" t="s">
        <v>1</v>
      </c>
      <c r="B10" s="73">
        <v>4.6693532182910884</v>
      </c>
      <c r="C10" s="73">
        <v>4.6836965327490896</v>
      </c>
      <c r="D10" s="73">
        <v>4.6421665516380566</v>
      </c>
      <c r="E10" s="73">
        <v>4.6997259913854119</v>
      </c>
      <c r="F10" s="73">
        <v>4.7141127523862307</v>
      </c>
      <c r="G10" s="73">
        <v>4.7323988920550359</v>
      </c>
      <c r="H10" s="73">
        <v>4.8311592550072788</v>
      </c>
      <c r="I10" s="73">
        <v>4.9215219562037014</v>
      </c>
      <c r="J10" s="73">
        <v>4.9337687917901993</v>
      </c>
      <c r="K10" s="73">
        <v>4.8801942944148511</v>
      </c>
      <c r="L10" s="73">
        <v>4.8372795762469858</v>
      </c>
      <c r="M10" s="73">
        <v>4.8426468329062988</v>
      </c>
      <c r="N10" s="73">
        <v>4.8787370946633706</v>
      </c>
      <c r="O10" s="73">
        <v>4.8910995349134048</v>
      </c>
      <c r="P10" s="73">
        <v>4.9026534597517122</v>
      </c>
      <c r="Q10" s="73">
        <v>5.0045923652307591</v>
      </c>
      <c r="R10" s="73">
        <v>5.6251771619670858</v>
      </c>
      <c r="S10" s="73">
        <v>5.4808492214158333</v>
      </c>
      <c r="T10" s="73">
        <v>5.0869062282383339</v>
      </c>
      <c r="U10" s="73">
        <v>5.1655469287222324</v>
      </c>
      <c r="V10" s="73">
        <v>5.3741653316304276</v>
      </c>
    </row>
    <row r="11" spans="1:22" x14ac:dyDescent="0.2">
      <c r="A11" s="7" t="s">
        <v>74</v>
      </c>
      <c r="B11" s="73">
        <v>4.8432442763318422</v>
      </c>
      <c r="C11" s="73">
        <v>4.8516984761515598</v>
      </c>
      <c r="D11" s="73">
        <v>4.9822185316417471</v>
      </c>
      <c r="E11" s="73">
        <v>4.886366789631758</v>
      </c>
      <c r="F11" s="73">
        <v>5.0644517703939815</v>
      </c>
      <c r="G11" s="73">
        <v>4.9619042860280667</v>
      </c>
      <c r="H11" s="73">
        <v>5.0788612634057255</v>
      </c>
      <c r="I11" s="73">
        <v>5.2752265705163115</v>
      </c>
      <c r="J11" s="73">
        <v>5.3613765617390188</v>
      </c>
      <c r="K11" s="73">
        <v>5.3101576725773878</v>
      </c>
      <c r="L11" s="73">
        <v>5.2426519445871325</v>
      </c>
      <c r="M11" s="73">
        <v>5.3478063144274728</v>
      </c>
      <c r="N11" s="73">
        <v>5.3204882660205461</v>
      </c>
      <c r="O11" s="73">
        <v>5.3181012768249856</v>
      </c>
      <c r="P11" s="73">
        <v>5.4218579489931074</v>
      </c>
      <c r="Q11" s="73">
        <v>5.3831094763813692</v>
      </c>
      <c r="R11" s="73">
        <v>5.555518609359825</v>
      </c>
      <c r="S11" s="73">
        <v>5.7235326635821737</v>
      </c>
      <c r="T11" s="73">
        <v>5.1560384566259883</v>
      </c>
      <c r="U11" s="73">
        <v>5.3643194344653988</v>
      </c>
      <c r="V11" s="73">
        <v>5.3726132350905322</v>
      </c>
    </row>
    <row r="12" spans="1:22" x14ac:dyDescent="0.2">
      <c r="A12" s="7" t="s">
        <v>5</v>
      </c>
      <c r="B12" s="73">
        <v>5.6212296933178703</v>
      </c>
      <c r="C12" s="73">
        <v>5.7893599074968858</v>
      </c>
      <c r="D12" s="73">
        <v>6.140710905469656</v>
      </c>
      <c r="E12" s="73">
        <v>6.76703320563922</v>
      </c>
      <c r="F12" s="73">
        <v>6.9553042240634371</v>
      </c>
      <c r="G12" s="73">
        <v>6.8072686019893442</v>
      </c>
      <c r="H12" s="73">
        <v>6.9050519632611271</v>
      </c>
      <c r="I12" s="73">
        <v>7.0834451204513025</v>
      </c>
      <c r="J12" s="73">
        <v>6.9301813011020261</v>
      </c>
      <c r="K12" s="73">
        <v>6.8377413737580959</v>
      </c>
      <c r="L12" s="73">
        <v>6.6415698819370395</v>
      </c>
      <c r="M12" s="73">
        <v>6.3189869798214344</v>
      </c>
      <c r="N12" s="73">
        <v>6.2191641951105074</v>
      </c>
      <c r="O12" s="73">
        <v>6.2102193883824279</v>
      </c>
      <c r="P12" s="73">
        <v>6.1818526788972079</v>
      </c>
      <c r="Q12" s="73">
        <v>6.2472580099237351</v>
      </c>
      <c r="R12" s="73">
        <v>6.494722634633554</v>
      </c>
      <c r="S12" s="73">
        <v>6.8611734070255617</v>
      </c>
      <c r="T12" s="73">
        <v>6.2165379219825274</v>
      </c>
      <c r="U12" s="73">
        <v>6.4090102086107414</v>
      </c>
      <c r="V12" s="73">
        <v>6.4473328006001402</v>
      </c>
    </row>
    <row r="13" spans="1:22" x14ac:dyDescent="0.2">
      <c r="A13" s="7" t="s">
        <v>77</v>
      </c>
      <c r="B13" s="73">
        <v>4.6639719756965059</v>
      </c>
      <c r="C13" s="73">
        <v>4.7749928359919762</v>
      </c>
      <c r="D13" s="73">
        <v>4.7379664941024853</v>
      </c>
      <c r="E13" s="73">
        <v>4.7549494177292004</v>
      </c>
      <c r="F13" s="73">
        <v>4.7564731243250069</v>
      </c>
      <c r="G13" s="73">
        <v>4.861917470397267</v>
      </c>
      <c r="H13" s="73">
        <v>4.9603578441237746</v>
      </c>
      <c r="I13" s="73">
        <v>5.1523186168867339</v>
      </c>
      <c r="J13" s="73">
        <v>5.1851783566547374</v>
      </c>
      <c r="K13" s="73">
        <v>5.169070993925561</v>
      </c>
      <c r="L13" s="73">
        <v>4.9667121842416257</v>
      </c>
      <c r="M13" s="73">
        <v>5.0015822536317236</v>
      </c>
      <c r="N13" s="73">
        <v>4.9656456130514686</v>
      </c>
      <c r="O13" s="73">
        <v>5.0301283504697309</v>
      </c>
      <c r="P13" s="73">
        <v>5.0629677709485508</v>
      </c>
      <c r="Q13" s="73">
        <v>4.998988854074482</v>
      </c>
      <c r="R13" s="73">
        <v>5.7878363226571947</v>
      </c>
      <c r="S13" s="73">
        <v>5.6538450372604645</v>
      </c>
      <c r="T13" s="73">
        <v>5.1856668344510304</v>
      </c>
      <c r="U13" s="73">
        <v>5.2393317147442495</v>
      </c>
      <c r="V13" s="73">
        <v>5.3062278156160243</v>
      </c>
    </row>
    <row r="14" spans="1:22" x14ac:dyDescent="0.2">
      <c r="A14" s="7" t="s">
        <v>78</v>
      </c>
      <c r="B14" s="73">
        <v>4.0067029384655735</v>
      </c>
      <c r="C14" s="73">
        <v>4.1581304022097676</v>
      </c>
      <c r="D14" s="73">
        <v>4.1167769926836435</v>
      </c>
      <c r="E14" s="73">
        <v>4.0157020596780288</v>
      </c>
      <c r="F14" s="73">
        <v>4.1670311385021543</v>
      </c>
      <c r="G14" s="73">
        <v>4.15629874025195</v>
      </c>
      <c r="H14" s="73">
        <v>4.1535692203303327</v>
      </c>
      <c r="I14" s="73">
        <v>4.3476328442696621</v>
      </c>
      <c r="J14" s="73">
        <v>4.2949481755203989</v>
      </c>
      <c r="K14" s="73">
        <v>4.3968944178814882</v>
      </c>
      <c r="L14" s="73">
        <v>4.3704730318052745</v>
      </c>
      <c r="M14" s="73">
        <v>4.4043772464030582</v>
      </c>
      <c r="N14" s="73">
        <v>4.3964818742499192</v>
      </c>
      <c r="O14" s="73">
        <v>4.3978450015816604</v>
      </c>
      <c r="P14" s="73">
        <v>4.4228080619280581</v>
      </c>
      <c r="Q14" s="73">
        <v>4.4265751739218997</v>
      </c>
      <c r="R14" s="73">
        <v>5.3145057975742116</v>
      </c>
      <c r="S14" s="73">
        <v>5.4394649003407229</v>
      </c>
      <c r="T14" s="73">
        <v>4.7257311591906417</v>
      </c>
      <c r="U14" s="73">
        <v>4.5818333544825149</v>
      </c>
      <c r="V14" s="73">
        <v>4.7058278678142882</v>
      </c>
    </row>
    <row r="15" spans="1:22" x14ac:dyDescent="0.2">
      <c r="A15" s="7" t="s">
        <v>2</v>
      </c>
      <c r="B15" s="73">
        <v>4.4894554676676579</v>
      </c>
      <c r="C15" s="73">
        <v>4.4414342947212937</v>
      </c>
      <c r="D15" s="73">
        <v>4.5519561268138862</v>
      </c>
      <c r="E15" s="73">
        <v>4.5526649443058753</v>
      </c>
      <c r="F15" s="73">
        <v>4.5695584965352261</v>
      </c>
      <c r="G15" s="73">
        <v>4.5635602960649271</v>
      </c>
      <c r="H15" s="73">
        <v>4.5820083812538384</v>
      </c>
      <c r="I15" s="73">
        <v>4.6928719635150928</v>
      </c>
      <c r="J15" s="73">
        <v>4.7674596933369981</v>
      </c>
      <c r="K15" s="73">
        <v>4.8394125801770702</v>
      </c>
      <c r="L15" s="73">
        <v>4.7152117038224004</v>
      </c>
      <c r="M15" s="73">
        <v>4.8156964991958962</v>
      </c>
      <c r="N15" s="73">
        <v>4.6302637403987221</v>
      </c>
      <c r="O15" s="73">
        <v>4.7273144420714202</v>
      </c>
      <c r="P15" s="73">
        <v>4.7993967150492693</v>
      </c>
      <c r="Q15" s="73">
        <v>4.7228694848720973</v>
      </c>
      <c r="R15" s="73">
        <v>5.2555288472521262</v>
      </c>
      <c r="S15" s="73">
        <v>5.2682328461737047</v>
      </c>
      <c r="T15" s="73">
        <v>4.8560984271405099</v>
      </c>
      <c r="U15" s="73">
        <v>4.779390829958988</v>
      </c>
      <c r="V15" s="73">
        <v>4.8644586431490833</v>
      </c>
    </row>
    <row r="16" spans="1:22" x14ac:dyDescent="0.2">
      <c r="A16" s="7" t="s">
        <v>75</v>
      </c>
      <c r="B16" s="73">
        <v>4.5887008619585803</v>
      </c>
      <c r="C16" s="73">
        <v>4.7172563197096604</v>
      </c>
      <c r="D16" s="73">
        <v>4.7047571492512565</v>
      </c>
      <c r="E16" s="73">
        <v>4.7804414060819544</v>
      </c>
      <c r="F16" s="73">
        <v>4.9181903551897479</v>
      </c>
      <c r="G16" s="73">
        <v>4.9001303748631599</v>
      </c>
      <c r="H16" s="73">
        <v>5.0043945713917992</v>
      </c>
      <c r="I16" s="73">
        <v>5.007630933045891</v>
      </c>
      <c r="J16" s="73">
        <v>5.1585468767984874</v>
      </c>
      <c r="K16" s="73">
        <v>5.1224269379788687</v>
      </c>
      <c r="L16" s="73">
        <v>4.96014696240732</v>
      </c>
      <c r="M16" s="73">
        <v>4.9848087082649766</v>
      </c>
      <c r="N16" s="73">
        <v>4.9078113727373847</v>
      </c>
      <c r="O16" s="73">
        <v>5.0248627029095472</v>
      </c>
      <c r="P16" s="73">
        <v>5.0993267445776356</v>
      </c>
      <c r="Q16" s="73">
        <v>4.9911597307946245</v>
      </c>
      <c r="R16" s="73">
        <v>5.3449231626159213</v>
      </c>
      <c r="S16" s="73">
        <v>5.4312729864463645</v>
      </c>
      <c r="T16" s="73">
        <v>5.3186065986196818</v>
      </c>
      <c r="U16" s="73">
        <v>5.4516355407808446</v>
      </c>
      <c r="V16" s="73">
        <v>5.4802466180464009</v>
      </c>
    </row>
    <row r="17" spans="1:22" x14ac:dyDescent="0.2">
      <c r="A17" s="7" t="s">
        <v>79</v>
      </c>
      <c r="B17" s="73">
        <v>4.5548826300020702</v>
      </c>
      <c r="C17" s="73">
        <v>4.6317896038089961</v>
      </c>
      <c r="D17" s="73">
        <v>4.6891182930434683</v>
      </c>
      <c r="E17" s="73">
        <v>4.7120480821430126</v>
      </c>
      <c r="F17" s="73">
        <v>4.7853043951640544</v>
      </c>
      <c r="G17" s="73">
        <v>4.8634852715465877</v>
      </c>
      <c r="H17" s="73">
        <v>4.8848393360582056</v>
      </c>
      <c r="I17" s="73">
        <v>5.0713355683554378</v>
      </c>
      <c r="J17" s="73">
        <v>5.131044080730482</v>
      </c>
      <c r="K17" s="73">
        <v>5.0624216476962518</v>
      </c>
      <c r="L17" s="73">
        <v>5.0479570516467378</v>
      </c>
      <c r="M17" s="73">
        <v>5.0899276926338581</v>
      </c>
      <c r="N17" s="73">
        <v>5.0481050419218514</v>
      </c>
      <c r="O17" s="73">
        <v>5.040154623242171</v>
      </c>
      <c r="P17" s="73">
        <v>5.0426992183173835</v>
      </c>
      <c r="Q17" s="73">
        <v>5.1135866035097619</v>
      </c>
      <c r="R17" s="73">
        <v>5.7829362854406376</v>
      </c>
      <c r="S17" s="73">
        <v>5.4168335353920618</v>
      </c>
      <c r="T17" s="73">
        <v>5.2680983746825101</v>
      </c>
      <c r="U17" s="73">
        <v>5.2718882466036625</v>
      </c>
      <c r="V17" s="73">
        <v>5.4396356524109661</v>
      </c>
    </row>
    <row r="18" spans="1:22" x14ac:dyDescent="0.2">
      <c r="A18" s="7" t="s">
        <v>80</v>
      </c>
      <c r="B18" s="73">
        <v>4.6384070877638228</v>
      </c>
      <c r="C18" s="73">
        <v>4.6511351317322767</v>
      </c>
      <c r="D18" s="73">
        <v>4.6566606834188917</v>
      </c>
      <c r="E18" s="73">
        <v>4.7037164214837643</v>
      </c>
      <c r="F18" s="73">
        <v>4.8208687113343105</v>
      </c>
      <c r="G18" s="73">
        <v>4.8713781993162772</v>
      </c>
      <c r="H18" s="73">
        <v>4.9190896604704761</v>
      </c>
      <c r="I18" s="73">
        <v>5.0426508895381392</v>
      </c>
      <c r="J18" s="73">
        <v>5.1686603683704373</v>
      </c>
      <c r="K18" s="73">
        <v>5.1561991981948916</v>
      </c>
      <c r="L18" s="73">
        <v>5.1090938695488379</v>
      </c>
      <c r="M18" s="73">
        <v>5.0413426410014353</v>
      </c>
      <c r="N18" s="73">
        <v>5.0378388656850586</v>
      </c>
      <c r="O18" s="73">
        <v>5.0447063752252639</v>
      </c>
      <c r="P18" s="73">
        <v>4.9932464269410932</v>
      </c>
      <c r="Q18" s="73">
        <v>5.0404916490439575</v>
      </c>
      <c r="R18" s="73">
        <v>5.3886281734858228</v>
      </c>
      <c r="S18" s="73">
        <v>5.2251890658046074</v>
      </c>
      <c r="T18" s="73">
        <v>5.048100797757014</v>
      </c>
      <c r="U18" s="73">
        <v>5.1392050826305642</v>
      </c>
      <c r="V18" s="73">
        <v>5.278332395906026</v>
      </c>
    </row>
    <row r="19" spans="1:22" x14ac:dyDescent="0.2">
      <c r="A19" s="7" t="s">
        <v>3</v>
      </c>
      <c r="B19" s="73">
        <v>4.5796294106188782</v>
      </c>
      <c r="C19" s="73">
        <v>4.5403785493327131</v>
      </c>
      <c r="D19" s="73">
        <v>4.6838700743005885</v>
      </c>
      <c r="E19" s="73">
        <v>4.6957168999846557</v>
      </c>
      <c r="F19" s="73">
        <v>4.7710338377009567</v>
      </c>
      <c r="G19" s="73">
        <v>4.7797871537558292</v>
      </c>
      <c r="H19" s="73">
        <v>4.7665297160364046</v>
      </c>
      <c r="I19" s="73">
        <v>4.8441606823181882</v>
      </c>
      <c r="J19" s="73">
        <v>4.8175130185967285</v>
      </c>
      <c r="K19" s="73">
        <v>4.8094490882125935</v>
      </c>
      <c r="L19" s="73">
        <v>4.8056805415466304</v>
      </c>
      <c r="M19" s="73">
        <v>4.8974401157886627</v>
      </c>
      <c r="N19" s="73">
        <v>4.7126138858014732</v>
      </c>
      <c r="O19" s="73">
        <v>4.6927817804468086</v>
      </c>
      <c r="P19" s="73">
        <v>4.791711556344918</v>
      </c>
      <c r="Q19" s="73">
        <v>4.7864834686768107</v>
      </c>
      <c r="R19" s="73">
        <v>5.4094135630632367</v>
      </c>
      <c r="S19" s="73">
        <v>5.3932622846525025</v>
      </c>
      <c r="T19" s="73">
        <v>4.9818281103695794</v>
      </c>
      <c r="U19" s="73">
        <v>4.9015337164444093</v>
      </c>
      <c r="V19" s="73">
        <v>5.1355111312752575</v>
      </c>
    </row>
    <row r="20" spans="1:22" x14ac:dyDescent="0.2">
      <c r="A20" s="7" t="s">
        <v>4</v>
      </c>
      <c r="B20" s="73">
        <v>4.940922892528965</v>
      </c>
      <c r="C20" s="73">
        <v>4.977546832889602</v>
      </c>
      <c r="D20" s="73">
        <v>5.0181819844636255</v>
      </c>
      <c r="E20" s="73">
        <v>5.049683240617175</v>
      </c>
      <c r="F20" s="73">
        <v>5.1538063989288529</v>
      </c>
      <c r="G20" s="73">
        <v>5.1023144990817277</v>
      </c>
      <c r="H20" s="73">
        <v>5.1929351032448379</v>
      </c>
      <c r="I20" s="73">
        <v>5.262407920873633</v>
      </c>
      <c r="J20" s="73">
        <v>5.3648488423605665</v>
      </c>
      <c r="K20" s="73">
        <v>5.4101603358539156</v>
      </c>
      <c r="L20" s="73">
        <v>5.3151569072576645</v>
      </c>
      <c r="M20" s="73">
        <v>5.2983707386217738</v>
      </c>
      <c r="N20" s="73">
        <v>5.3468592721026349</v>
      </c>
      <c r="O20" s="73">
        <v>5.3117922500530561</v>
      </c>
      <c r="P20" s="73">
        <v>5.3153641456643665</v>
      </c>
      <c r="Q20" s="73">
        <v>5.3798375551213748</v>
      </c>
      <c r="R20" s="73">
        <v>5.7494586215570793</v>
      </c>
      <c r="S20" s="73">
        <v>5.7887438868541903</v>
      </c>
      <c r="T20" s="73">
        <v>5.4257612556303902</v>
      </c>
      <c r="U20" s="73">
        <v>5.4610736648538847</v>
      </c>
      <c r="V20" s="73">
        <v>5.5624631447317237</v>
      </c>
    </row>
    <row r="21" spans="1:22" s="48" customFormat="1" x14ac:dyDescent="0.2">
      <c r="A21" s="49" t="s">
        <v>0</v>
      </c>
      <c r="B21" s="79">
        <v>4.6836036287847618</v>
      </c>
      <c r="C21" s="79">
        <v>4.7066295598289054</v>
      </c>
      <c r="D21" s="79">
        <v>4.7661107330924013</v>
      </c>
      <c r="E21" s="79">
        <v>4.7772709554613284</v>
      </c>
      <c r="F21" s="79">
        <v>4.861709455722222</v>
      </c>
      <c r="G21" s="79">
        <v>4.8649225546665589</v>
      </c>
      <c r="H21" s="79">
        <v>4.910987923267836</v>
      </c>
      <c r="I21" s="79">
        <v>5.0329736529974305</v>
      </c>
      <c r="J21" s="79">
        <v>5.0797676196964572</v>
      </c>
      <c r="K21" s="79">
        <v>5.0643254313019996</v>
      </c>
      <c r="L21" s="79">
        <v>4.9841128154989569</v>
      </c>
      <c r="M21" s="79">
        <v>5.0083163683779564</v>
      </c>
      <c r="N21" s="79">
        <v>4.9657739746264902</v>
      </c>
      <c r="O21" s="79">
        <v>4.9814116879027992</v>
      </c>
      <c r="P21" s="79">
        <v>5.0124693381224459</v>
      </c>
      <c r="Q21" s="79">
        <v>5.028223612586646</v>
      </c>
      <c r="R21" s="79">
        <v>5.5291985608094985</v>
      </c>
      <c r="S21" s="79">
        <v>5.4661889632359362</v>
      </c>
      <c r="T21" s="79">
        <v>5.1224193241264375</v>
      </c>
      <c r="U21" s="79">
        <v>5.1706273481749037</v>
      </c>
      <c r="V21" s="79">
        <v>5.2863336099873122</v>
      </c>
    </row>
  </sheetData>
  <phoneticPr fontId="21" type="noConversion"/>
  <hyperlinks>
    <hyperlink ref="A2" location="Sommaire!A1" display="Retour au menu &quot;Exploitation des films&quot;" xr:uid="{00000000-0004-0000-1C00-000000000000}"/>
  </hyperlinks>
  <pageMargins left="0.78740157499999996" right="0.78740157499999996" top="0.984251969" bottom="0.984251969" header="0.4921259845" footer="0.492125984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85</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3">
        <v>0.70067040167693528</v>
      </c>
      <c r="C8" s="73">
        <v>0.5579112359896472</v>
      </c>
      <c r="D8" s="73">
        <v>0.61372211595264581</v>
      </c>
      <c r="E8" s="73">
        <v>0.5587271859447166</v>
      </c>
      <c r="F8" s="73">
        <v>0.57875844220948391</v>
      </c>
      <c r="G8" s="73">
        <v>0.57726823057882748</v>
      </c>
      <c r="H8" s="73">
        <v>0.56454501093629894</v>
      </c>
      <c r="I8" s="73">
        <v>0.60381145107948531</v>
      </c>
      <c r="J8" s="73">
        <v>0.52642807604769937</v>
      </c>
      <c r="K8" s="73">
        <v>0.51655474221823483</v>
      </c>
      <c r="L8" s="73">
        <v>0.56779887197221601</v>
      </c>
      <c r="M8" s="73">
        <v>0.58180358877382798</v>
      </c>
      <c r="N8" s="73">
        <v>0.61444485950316263</v>
      </c>
      <c r="O8" s="73">
        <v>0.59232682213672716</v>
      </c>
      <c r="P8" s="73">
        <v>0.61505767040227588</v>
      </c>
      <c r="Q8" s="73">
        <v>0.6247671354944776</v>
      </c>
      <c r="R8" s="73">
        <v>0.34345941933743213</v>
      </c>
      <c r="S8" s="73">
        <v>0.38256635411209933</v>
      </c>
      <c r="T8" s="73">
        <v>0.55800783612544491</v>
      </c>
      <c r="U8" s="73">
        <v>0.60220706463336915</v>
      </c>
      <c r="V8" s="73">
        <v>0.61601009683527286</v>
      </c>
    </row>
    <row r="9" spans="1:22" x14ac:dyDescent="0.2">
      <c r="A9" s="7" t="s">
        <v>73</v>
      </c>
      <c r="B9" s="73">
        <v>0.48823279045829387</v>
      </c>
      <c r="C9" s="73">
        <v>0.46355174846681257</v>
      </c>
      <c r="D9" s="73">
        <v>0.48840664012435275</v>
      </c>
      <c r="E9" s="73">
        <v>0.42310371123892115</v>
      </c>
      <c r="F9" s="73">
        <v>0.45290154063242327</v>
      </c>
      <c r="G9" s="73">
        <v>0.46583361281156022</v>
      </c>
      <c r="H9" s="73">
        <v>0.42952034578298665</v>
      </c>
      <c r="I9" s="73">
        <v>0.50025500938629364</v>
      </c>
      <c r="J9" s="73">
        <v>0.49482049148275609</v>
      </c>
      <c r="K9" s="73">
        <v>0.42803168935194913</v>
      </c>
      <c r="L9" s="73">
        <v>0.47899112302933061</v>
      </c>
      <c r="M9" s="73">
        <v>0.50109031298314366</v>
      </c>
      <c r="N9" s="73">
        <v>0.50194579467604417</v>
      </c>
      <c r="O9" s="73">
        <v>0.49375522717057169</v>
      </c>
      <c r="P9" s="73">
        <v>0.51708702047450528</v>
      </c>
      <c r="Q9" s="73">
        <v>0.54128473241757247</v>
      </c>
      <c r="R9" s="73">
        <v>0.27048981284468016</v>
      </c>
      <c r="S9" s="73">
        <v>0.28763701970912925</v>
      </c>
      <c r="T9" s="73">
        <v>0.38195083224209264</v>
      </c>
      <c r="U9" s="73">
        <v>0.43377931564247751</v>
      </c>
      <c r="V9" s="73">
        <v>0.49235041420760617</v>
      </c>
    </row>
    <row r="10" spans="1:22" x14ac:dyDescent="0.2">
      <c r="A10" s="7" t="s">
        <v>1</v>
      </c>
      <c r="B10" s="73">
        <v>0.6786850621127446</v>
      </c>
      <c r="C10" s="73">
        <v>0.56667664711288401</v>
      </c>
      <c r="D10" s="73">
        <v>0.58986746987603944</v>
      </c>
      <c r="E10" s="73">
        <v>0.57112020740079439</v>
      </c>
      <c r="F10" s="73">
        <v>0.54491677202918831</v>
      </c>
      <c r="G10" s="73">
        <v>0.54361142205767155</v>
      </c>
      <c r="H10" s="73">
        <v>0.53292782116272297</v>
      </c>
      <c r="I10" s="73">
        <v>0.5968125900297363</v>
      </c>
      <c r="J10" s="73">
        <v>0.56230988910155488</v>
      </c>
      <c r="K10" s="73">
        <v>0.51351792250419304</v>
      </c>
      <c r="L10" s="73">
        <v>0.58237607187538165</v>
      </c>
      <c r="M10" s="73">
        <v>0.58451354275331546</v>
      </c>
      <c r="N10" s="73">
        <v>0.6353915862239814</v>
      </c>
      <c r="O10" s="73">
        <v>0.61528469246895934</v>
      </c>
      <c r="P10" s="73">
        <v>0.60088599799216902</v>
      </c>
      <c r="Q10" s="73">
        <v>0.66562396508210486</v>
      </c>
      <c r="R10" s="73">
        <v>0.43962604798294413</v>
      </c>
      <c r="S10" s="73">
        <v>0.47680787795021073</v>
      </c>
      <c r="T10" s="73">
        <v>0.54688389199290066</v>
      </c>
      <c r="U10" s="73">
        <v>0.59749370495625875</v>
      </c>
      <c r="V10" s="73">
        <v>0.62214117240118849</v>
      </c>
    </row>
    <row r="11" spans="1:22" x14ac:dyDescent="0.2">
      <c r="A11" s="7" t="s">
        <v>74</v>
      </c>
      <c r="B11" s="73">
        <v>0.4277913625634881</v>
      </c>
      <c r="C11" s="73">
        <v>0.39413632404660948</v>
      </c>
      <c r="D11" s="73">
        <v>0.40253801919942506</v>
      </c>
      <c r="E11" s="73">
        <v>0.37232891312778638</v>
      </c>
      <c r="F11" s="73">
        <v>0.41732407585721487</v>
      </c>
      <c r="G11" s="73">
        <v>0.36488745511708021</v>
      </c>
      <c r="H11" s="73">
        <v>0.38042217767957631</v>
      </c>
      <c r="I11" s="73">
        <v>0.39757692057874039</v>
      </c>
      <c r="J11" s="73">
        <v>0.39151770266302477</v>
      </c>
      <c r="K11" s="73">
        <v>0.35608122968089967</v>
      </c>
      <c r="L11" s="73">
        <v>0.37786053239224016</v>
      </c>
      <c r="M11" s="73">
        <v>0.39924480083625713</v>
      </c>
      <c r="N11" s="73">
        <v>0.41747259354810284</v>
      </c>
      <c r="O11" s="73">
        <v>0.4413835619404235</v>
      </c>
      <c r="P11" s="73">
        <v>0.43961730295671753</v>
      </c>
      <c r="Q11" s="73">
        <v>0.45955020030896238</v>
      </c>
      <c r="R11" s="73">
        <v>0.2307493914003319</v>
      </c>
      <c r="S11" s="73">
        <v>0.26591161943918051</v>
      </c>
      <c r="T11" s="73">
        <v>0.32713015581442961</v>
      </c>
      <c r="U11" s="73">
        <v>0.39385486213114151</v>
      </c>
      <c r="V11" s="73">
        <v>0.36766371036695267</v>
      </c>
    </row>
    <row r="12" spans="1:22" x14ac:dyDescent="0.2">
      <c r="A12" s="7" t="s">
        <v>5</v>
      </c>
      <c r="B12" s="73">
        <v>0.77981626422048289</v>
      </c>
      <c r="C12" s="73">
        <v>0.51330714531482968</v>
      </c>
      <c r="D12" s="73">
        <v>0.5168281913063425</v>
      </c>
      <c r="E12" s="73">
        <v>0.55462495699048053</v>
      </c>
      <c r="F12" s="73">
        <v>0.5640841839660512</v>
      </c>
      <c r="G12" s="73">
        <v>0.70769296937722215</v>
      </c>
      <c r="H12" s="73">
        <v>0.77858125931872924</v>
      </c>
      <c r="I12" s="73">
        <v>0.87422582865007459</v>
      </c>
      <c r="J12" s="73">
        <v>1.0082148182130979</v>
      </c>
      <c r="K12" s="73">
        <v>0.9616125702488818</v>
      </c>
      <c r="L12" s="73">
        <v>0.59695492602362654</v>
      </c>
      <c r="M12" s="73">
        <v>0.5816005275834385</v>
      </c>
      <c r="N12" s="73">
        <v>0.68447069618075462</v>
      </c>
      <c r="O12" s="73">
        <v>0.65295332033490083</v>
      </c>
      <c r="P12" s="73">
        <v>0.58937664869824524</v>
      </c>
      <c r="Q12" s="73">
        <v>0.79630118132813399</v>
      </c>
      <c r="R12" s="73">
        <v>0.31865752953320337</v>
      </c>
      <c r="S12" s="73">
        <v>0.53954008487211835</v>
      </c>
      <c r="T12" s="73">
        <v>0.47623293955728868</v>
      </c>
      <c r="U12" s="73">
        <v>0.72352333983254957</v>
      </c>
      <c r="V12" s="73">
        <v>0.70328019268264708</v>
      </c>
    </row>
    <row r="13" spans="1:22" x14ac:dyDescent="0.2">
      <c r="A13" s="7" t="s">
        <v>77</v>
      </c>
      <c r="B13" s="73">
        <v>0.30194769179151254</v>
      </c>
      <c r="C13" s="73">
        <v>0.2493282163933547</v>
      </c>
      <c r="D13" s="73">
        <v>0.26501633944265951</v>
      </c>
      <c r="E13" s="73">
        <v>0.26630027880430984</v>
      </c>
      <c r="F13" s="73">
        <v>0.24600158207861986</v>
      </c>
      <c r="G13" s="73">
        <v>0.2498020637587563</v>
      </c>
      <c r="H13" s="73">
        <v>0.25947077282635311</v>
      </c>
      <c r="I13" s="73">
        <v>0.29362641774920034</v>
      </c>
      <c r="J13" s="73">
        <v>0.26504597695471743</v>
      </c>
      <c r="K13" s="73">
        <v>0.26619884089101653</v>
      </c>
      <c r="L13" s="73">
        <v>0.27840649682490509</v>
      </c>
      <c r="M13" s="73">
        <v>0.26959551146936434</v>
      </c>
      <c r="N13" s="73">
        <v>0.29451430821460101</v>
      </c>
      <c r="O13" s="73">
        <v>0.28632941530128297</v>
      </c>
      <c r="P13" s="73">
        <v>0.31853939284028276</v>
      </c>
      <c r="Q13" s="73">
        <v>0.29502731943522192</v>
      </c>
      <c r="R13" s="73">
        <v>0.23238967259722693</v>
      </c>
      <c r="S13" s="73">
        <v>0.23699089634421289</v>
      </c>
      <c r="T13" s="73">
        <v>0.26040453086993859</v>
      </c>
      <c r="U13" s="73">
        <v>0.28294403520371908</v>
      </c>
      <c r="V13" s="73">
        <v>0.29696346047590788</v>
      </c>
    </row>
    <row r="14" spans="1:22" x14ac:dyDescent="0.2">
      <c r="A14" s="7" t="s">
        <v>78</v>
      </c>
      <c r="B14" s="73">
        <v>0.33082315758889863</v>
      </c>
      <c r="C14" s="73">
        <v>0.30188850619455654</v>
      </c>
      <c r="D14" s="73">
        <v>0.31208903473977606</v>
      </c>
      <c r="E14" s="73">
        <v>0.28334556969717872</v>
      </c>
      <c r="F14" s="73">
        <v>0.30658710566469732</v>
      </c>
      <c r="G14" s="73">
        <v>0.27927488457577593</v>
      </c>
      <c r="H14" s="73">
        <v>0.27546748658516756</v>
      </c>
      <c r="I14" s="73">
        <v>0.31887882057877182</v>
      </c>
      <c r="J14" s="73">
        <v>0.27637741216508088</v>
      </c>
      <c r="K14" s="73">
        <v>0.26969455079404969</v>
      </c>
      <c r="L14" s="73">
        <v>0.30030434875443673</v>
      </c>
      <c r="M14" s="73">
        <v>0.28930821018952402</v>
      </c>
      <c r="N14" s="73">
        <v>0.31107678359374613</v>
      </c>
      <c r="O14" s="73">
        <v>0.30841779709316552</v>
      </c>
      <c r="P14" s="73">
        <v>0.30984230694056414</v>
      </c>
      <c r="Q14" s="73">
        <v>0.32011756764081262</v>
      </c>
      <c r="R14" s="73">
        <v>0.22154224173470577</v>
      </c>
      <c r="S14" s="73">
        <v>0.28417025134641066</v>
      </c>
      <c r="T14" s="73">
        <v>0.28401043950719485</v>
      </c>
      <c r="U14" s="73">
        <v>0.30546628758575722</v>
      </c>
      <c r="V14" s="73">
        <v>0.29826013688302855</v>
      </c>
    </row>
    <row r="15" spans="1:22" x14ac:dyDescent="0.2">
      <c r="A15" s="7" t="s">
        <v>2</v>
      </c>
      <c r="B15" s="73">
        <v>0.42000774482413944</v>
      </c>
      <c r="C15" s="73">
        <v>0.37182506320435132</v>
      </c>
      <c r="D15" s="73">
        <v>0.38966552050813602</v>
      </c>
      <c r="E15" s="73">
        <v>0.36936543050595844</v>
      </c>
      <c r="F15" s="73">
        <v>0.37483473494902481</v>
      </c>
      <c r="G15" s="73">
        <v>0.3799313484763977</v>
      </c>
      <c r="H15" s="73">
        <v>0.37207260035202505</v>
      </c>
      <c r="I15" s="73">
        <v>0.36714679249198839</v>
      </c>
      <c r="J15" s="73">
        <v>0.38530311983953819</v>
      </c>
      <c r="K15" s="73">
        <v>0.40172968488723737</v>
      </c>
      <c r="L15" s="73">
        <v>0.40176660684962628</v>
      </c>
      <c r="M15" s="73">
        <v>0.38898659223960791</v>
      </c>
      <c r="N15" s="73">
        <v>0.38402509076686642</v>
      </c>
      <c r="O15" s="73">
        <v>0.40006352837783316</v>
      </c>
      <c r="P15" s="73">
        <v>0.38896114382071406</v>
      </c>
      <c r="Q15" s="73">
        <v>0.38909373468021435</v>
      </c>
      <c r="R15" s="73">
        <v>0.25754940809535432</v>
      </c>
      <c r="S15" s="73">
        <v>0.2983752416483067</v>
      </c>
      <c r="T15" s="73">
        <v>0.39340843295140809</v>
      </c>
      <c r="U15" s="73">
        <v>0.38756439359288958</v>
      </c>
      <c r="V15" s="73">
        <v>0.39276047708179701</v>
      </c>
    </row>
    <row r="16" spans="1:22" x14ac:dyDescent="0.2">
      <c r="A16" s="7" t="s">
        <v>75</v>
      </c>
      <c r="B16" s="73">
        <v>0.45406946712331786</v>
      </c>
      <c r="C16" s="73">
        <v>0.44199005156767013</v>
      </c>
      <c r="D16" s="73">
        <v>0.47232205267239719</v>
      </c>
      <c r="E16" s="73">
        <v>0.46540926427886231</v>
      </c>
      <c r="F16" s="73">
        <v>0.49570769958254746</v>
      </c>
      <c r="G16" s="73">
        <v>0.49865177365814822</v>
      </c>
      <c r="H16" s="73">
        <v>0.51931800181019772</v>
      </c>
      <c r="I16" s="73">
        <v>0.48512475583824111</v>
      </c>
      <c r="J16" s="73">
        <v>0.50904686669136012</v>
      </c>
      <c r="K16" s="73">
        <v>0.4664474486163529</v>
      </c>
      <c r="L16" s="73">
        <v>0.48860971040957935</v>
      </c>
      <c r="M16" s="73">
        <v>0.49875570986663775</v>
      </c>
      <c r="N16" s="73">
        <v>0.464031594251886</v>
      </c>
      <c r="O16" s="73">
        <v>0.51398869480265963</v>
      </c>
      <c r="P16" s="73">
        <v>0.52895433107775081</v>
      </c>
      <c r="Q16" s="73">
        <v>0.50971994933330667</v>
      </c>
      <c r="R16" s="73">
        <v>0.35416778307306096</v>
      </c>
      <c r="S16" s="73">
        <v>0.44864049672674555</v>
      </c>
      <c r="T16" s="73">
        <v>0.49330273938157659</v>
      </c>
      <c r="U16" s="73">
        <v>0.56809323284007307</v>
      </c>
      <c r="V16" s="73">
        <v>0.54365350200246498</v>
      </c>
    </row>
    <row r="17" spans="1:22" x14ac:dyDescent="0.2">
      <c r="A17" s="7" t="s">
        <v>79</v>
      </c>
      <c r="B17" s="73">
        <v>0.58398323461865409</v>
      </c>
      <c r="C17" s="73">
        <v>0.50331665997215358</v>
      </c>
      <c r="D17" s="73">
        <v>0.5058558220632462</v>
      </c>
      <c r="E17" s="73">
        <v>0.50291563730764888</v>
      </c>
      <c r="F17" s="73">
        <v>0.49169559025756349</v>
      </c>
      <c r="G17" s="73">
        <v>0.505143540999342</v>
      </c>
      <c r="H17" s="73">
        <v>0.49782516092350904</v>
      </c>
      <c r="I17" s="73">
        <v>0.53385789798339878</v>
      </c>
      <c r="J17" s="73">
        <v>0.50551734273146831</v>
      </c>
      <c r="K17" s="73">
        <v>0.46890972550444193</v>
      </c>
      <c r="L17" s="73">
        <v>0.51151178091167759</v>
      </c>
      <c r="M17" s="73">
        <v>0.53345476893722188</v>
      </c>
      <c r="N17" s="73">
        <v>0.5377227842930683</v>
      </c>
      <c r="O17" s="73">
        <v>0.53782308046653438</v>
      </c>
      <c r="P17" s="73">
        <v>0.55155879535059993</v>
      </c>
      <c r="Q17" s="73">
        <v>0.57997518034272777</v>
      </c>
      <c r="R17" s="73">
        <v>0.44069798359323115</v>
      </c>
      <c r="S17" s="73">
        <v>0.35684211907829277</v>
      </c>
      <c r="T17" s="73">
        <v>0.50447581800927166</v>
      </c>
      <c r="U17" s="73">
        <v>0.51037044610409321</v>
      </c>
      <c r="V17" s="73">
        <v>0.55156608667177276</v>
      </c>
    </row>
    <row r="18" spans="1:22" x14ac:dyDescent="0.2">
      <c r="A18" s="7" t="s">
        <v>80</v>
      </c>
      <c r="B18" s="73">
        <v>0.59115573325078719</v>
      </c>
      <c r="C18" s="73">
        <v>0.48455673649240272</v>
      </c>
      <c r="D18" s="73">
        <v>0.50361450643893668</v>
      </c>
      <c r="E18" s="73">
        <v>0.51581735045091337</v>
      </c>
      <c r="F18" s="73">
        <v>0.51473494193452318</v>
      </c>
      <c r="G18" s="73">
        <v>0.50376456761961808</v>
      </c>
      <c r="H18" s="73">
        <v>0.50723434291981007</v>
      </c>
      <c r="I18" s="73">
        <v>0.51777568985912781</v>
      </c>
      <c r="J18" s="73">
        <v>0.49472350448453328</v>
      </c>
      <c r="K18" s="73">
        <v>0.47011494686440192</v>
      </c>
      <c r="L18" s="73">
        <v>0.4945465470922325</v>
      </c>
      <c r="M18" s="73">
        <v>0.46488658572765651</v>
      </c>
      <c r="N18" s="73">
        <v>0.49333621756935986</v>
      </c>
      <c r="O18" s="73">
        <v>0.49324700086740281</v>
      </c>
      <c r="P18" s="73">
        <v>0.49111219607075868</v>
      </c>
      <c r="Q18" s="73">
        <v>0.53479902379871924</v>
      </c>
      <c r="R18" s="73">
        <v>0.29722298255042673</v>
      </c>
      <c r="S18" s="73">
        <v>0.33452425603684649</v>
      </c>
      <c r="T18" s="73">
        <v>0.44174600365755678</v>
      </c>
      <c r="U18" s="73">
        <v>0.49004553167824322</v>
      </c>
      <c r="V18" s="73">
        <v>0.51843005500767281</v>
      </c>
    </row>
    <row r="19" spans="1:22" x14ac:dyDescent="0.2">
      <c r="A19" s="7" t="s">
        <v>3</v>
      </c>
      <c r="B19" s="73">
        <v>0.49993145581189502</v>
      </c>
      <c r="C19" s="73">
        <v>0.3681908491946918</v>
      </c>
      <c r="D19" s="73">
        <v>0.45099017397063257</v>
      </c>
      <c r="E19" s="73">
        <v>0.45188824644148662</v>
      </c>
      <c r="F19" s="73">
        <v>0.45078318139432444</v>
      </c>
      <c r="G19" s="73">
        <v>0.45937362822807726</v>
      </c>
      <c r="H19" s="73">
        <v>0.47576835797275752</v>
      </c>
      <c r="I19" s="73">
        <v>0.48514751789899474</v>
      </c>
      <c r="J19" s="73">
        <v>0.46005527619488507</v>
      </c>
      <c r="K19" s="73">
        <v>0.45016475283505902</v>
      </c>
      <c r="L19" s="73">
        <v>0.48853230537217113</v>
      </c>
      <c r="M19" s="73">
        <v>0.53612657748991421</v>
      </c>
      <c r="N19" s="73">
        <v>0.51191201489938687</v>
      </c>
      <c r="O19" s="73">
        <v>0.51685332536632844</v>
      </c>
      <c r="P19" s="73">
        <v>0.50493493754279417</v>
      </c>
      <c r="Q19" s="73">
        <v>0.5408417766081054</v>
      </c>
      <c r="R19" s="73">
        <v>0.33653092678121954</v>
      </c>
      <c r="S19" s="73">
        <v>0.38385957542049826</v>
      </c>
      <c r="T19" s="73">
        <v>0.48269266751740958</v>
      </c>
      <c r="U19" s="73">
        <v>0.4742431897657976</v>
      </c>
      <c r="V19" s="73">
        <v>0.48433254835902301</v>
      </c>
    </row>
    <row r="20" spans="1:22" x14ac:dyDescent="0.2">
      <c r="A20" s="7" t="s">
        <v>4</v>
      </c>
      <c r="B20" s="73">
        <v>0.5717896873920093</v>
      </c>
      <c r="C20" s="73">
        <v>0.48499893893236884</v>
      </c>
      <c r="D20" s="73">
        <v>0.52832760666048972</v>
      </c>
      <c r="E20" s="73">
        <v>0.51558223235487044</v>
      </c>
      <c r="F20" s="73">
        <v>0.52542754840807004</v>
      </c>
      <c r="G20" s="73">
        <v>0.47809252896289434</v>
      </c>
      <c r="H20" s="73">
        <v>0.49794802276135025</v>
      </c>
      <c r="I20" s="73">
        <v>0.50682639503335314</v>
      </c>
      <c r="J20" s="73">
        <v>0.49342485959697985</v>
      </c>
      <c r="K20" s="73">
        <v>0.46083384840532554</v>
      </c>
      <c r="L20" s="73">
        <v>0.49268733062055642</v>
      </c>
      <c r="M20" s="73">
        <v>0.47041148164082414</v>
      </c>
      <c r="N20" s="73">
        <v>0.45613500027251463</v>
      </c>
      <c r="O20" s="73">
        <v>0.42621057379986294</v>
      </c>
      <c r="P20" s="73">
        <v>0.44355081547589364</v>
      </c>
      <c r="Q20" s="73">
        <v>0.4715552700272167</v>
      </c>
      <c r="R20" s="73">
        <v>0.28658277081287059</v>
      </c>
      <c r="S20" s="73">
        <v>0.32924039540520994</v>
      </c>
      <c r="T20" s="73">
        <v>0.40338177136060566</v>
      </c>
      <c r="U20" s="73">
        <v>0.43197532138366312</v>
      </c>
      <c r="V20" s="73">
        <v>0.45656464569038396</v>
      </c>
    </row>
    <row r="21" spans="1:22" s="48" customFormat="1" x14ac:dyDescent="0.2">
      <c r="A21" s="49" t="s">
        <v>0</v>
      </c>
      <c r="B21" s="79">
        <v>0.50056179534622924</v>
      </c>
      <c r="C21" s="79">
        <v>0.42854287710222616</v>
      </c>
      <c r="D21" s="79">
        <v>0.45549251453781781</v>
      </c>
      <c r="E21" s="79">
        <v>0.43711692617337827</v>
      </c>
      <c r="F21" s="79">
        <v>0.44388289264134423</v>
      </c>
      <c r="G21" s="79">
        <v>0.43885320401965983</v>
      </c>
      <c r="H21" s="79">
        <v>0.43835361655638178</v>
      </c>
      <c r="I21" s="79">
        <v>0.46057649136476259</v>
      </c>
      <c r="J21" s="79">
        <v>0.44040761902819059</v>
      </c>
      <c r="K21" s="79">
        <v>0.4236976456914468</v>
      </c>
      <c r="L21" s="79">
        <v>0.45072219905394384</v>
      </c>
      <c r="M21" s="79">
        <v>0.45106406155307144</v>
      </c>
      <c r="N21" s="79">
        <v>0.46095076233389404</v>
      </c>
      <c r="O21" s="79">
        <v>0.46014799234846426</v>
      </c>
      <c r="P21" s="79">
        <v>0.46612354340562528</v>
      </c>
      <c r="Q21" s="79">
        <v>0.48254551992712791</v>
      </c>
      <c r="R21" s="79">
        <v>0.30457497322132793</v>
      </c>
      <c r="S21" s="79">
        <v>0.33496994668099289</v>
      </c>
      <c r="T21" s="79">
        <v>0.423681857653331</v>
      </c>
      <c r="U21" s="79">
        <v>0.45131005974016675</v>
      </c>
      <c r="V21" s="79">
        <v>0.46488924960771272</v>
      </c>
    </row>
  </sheetData>
  <phoneticPr fontId="21" type="noConversion"/>
  <hyperlinks>
    <hyperlink ref="A2" location="Sommaire!A1" display="Retour au menu &quot;Exploitation des films&quot;" xr:uid="{00000000-0004-0000-1D00-000000000000}"/>
  </hyperlinks>
  <pageMargins left="0.78740157499999996" right="0.78740157499999996" top="0.984251969" bottom="0.984251969" header="0.4921259845" footer="0.492125984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row>
    <row r="2" spans="1:22" s="40" customFormat="1" ht="12.75" x14ac:dyDescent="0.2">
      <c r="A2" s="38" t="s">
        <v>32</v>
      </c>
      <c r="B2" s="39"/>
      <c r="C2" s="39"/>
      <c r="D2" s="39"/>
      <c r="E2" s="39"/>
      <c r="F2" s="39"/>
      <c r="G2" s="39"/>
      <c r="H2" s="39"/>
      <c r="I2" s="39"/>
      <c r="J2" s="39"/>
      <c r="K2" s="39"/>
      <c r="L2" s="39"/>
      <c r="M2" s="39"/>
      <c r="N2" s="39"/>
      <c r="O2" s="39"/>
      <c r="P2" s="39"/>
      <c r="Q2" s="39"/>
      <c r="R2" s="39"/>
      <c r="S2" s="39"/>
      <c r="T2" s="39"/>
    </row>
    <row r="3" spans="1:22" s="36" customFormat="1" ht="12.75" x14ac:dyDescent="0.2">
      <c r="B3" s="37"/>
      <c r="C3" s="37"/>
      <c r="D3" s="37"/>
      <c r="E3" s="37"/>
      <c r="F3" s="37"/>
      <c r="G3" s="37"/>
      <c r="H3" s="37"/>
      <c r="I3" s="37"/>
      <c r="J3" s="37"/>
      <c r="K3" s="37"/>
      <c r="L3" s="37"/>
      <c r="M3" s="37"/>
      <c r="N3" s="37"/>
      <c r="O3" s="37"/>
      <c r="P3" s="37"/>
      <c r="Q3" s="37"/>
      <c r="R3" s="37"/>
      <c r="S3" s="37"/>
      <c r="T3" s="37"/>
    </row>
    <row r="4" spans="1:22" s="36" customFormat="1" ht="12.75" x14ac:dyDescent="0.2">
      <c r="B4" s="37"/>
      <c r="C4" s="37"/>
      <c r="D4" s="37"/>
      <c r="E4" s="37"/>
      <c r="F4" s="37"/>
      <c r="G4" s="37"/>
      <c r="H4" s="37"/>
      <c r="I4" s="37"/>
      <c r="J4" s="37"/>
      <c r="K4" s="37"/>
      <c r="L4" s="37"/>
      <c r="M4" s="37"/>
      <c r="N4" s="37"/>
      <c r="O4" s="37"/>
      <c r="P4" s="37"/>
      <c r="Q4" s="37"/>
      <c r="R4" s="37"/>
      <c r="S4" s="37"/>
      <c r="T4" s="37"/>
    </row>
    <row r="5" spans="1:22" ht="12.75" x14ac:dyDescent="0.2">
      <c r="A5" s="45" t="s">
        <v>84</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5">
        <v>16.667747508647331</v>
      </c>
      <c r="C8" s="75">
        <v>14.729664207434249</v>
      </c>
      <c r="D8" s="75">
        <v>16.558574698857957</v>
      </c>
      <c r="E8" s="75">
        <v>15.502638437368388</v>
      </c>
      <c r="F8" s="75">
        <v>15.334830680224309</v>
      </c>
      <c r="G8" s="75">
        <v>14.912913005705326</v>
      </c>
      <c r="H8" s="75">
        <v>14.479716471972646</v>
      </c>
      <c r="I8" s="75">
        <v>15.24200406959954</v>
      </c>
      <c r="J8" s="75">
        <v>13.304363909908512</v>
      </c>
      <c r="K8" s="75">
        <v>12.611272996670914</v>
      </c>
      <c r="L8" s="75">
        <v>13.5339707729726</v>
      </c>
      <c r="M8" s="75">
        <v>13.363442433482881</v>
      </c>
      <c r="N8" s="75">
        <v>13.876874884415177</v>
      </c>
      <c r="O8" s="75">
        <v>13.119863782353363</v>
      </c>
      <c r="P8" s="75">
        <v>12.662890107181635</v>
      </c>
      <c r="Q8" s="75">
        <v>13.193433731226758</v>
      </c>
      <c r="R8" s="75">
        <v>8.9788301009830072</v>
      </c>
      <c r="S8" s="75">
        <v>10.545464111976353</v>
      </c>
      <c r="T8" s="75">
        <v>10.474373386767812</v>
      </c>
      <c r="U8" s="75">
        <v>12.156317353194767</v>
      </c>
      <c r="V8" s="75">
        <v>12.7576849233603</v>
      </c>
    </row>
    <row r="9" spans="1:22" x14ac:dyDescent="0.2">
      <c r="A9" s="7" t="s">
        <v>73</v>
      </c>
      <c r="B9" s="75">
        <v>14.502961728484317</v>
      </c>
      <c r="C9" s="75">
        <v>11.254568030393806</v>
      </c>
      <c r="D9" s="75">
        <v>13.032707667695478</v>
      </c>
      <c r="E9" s="75">
        <v>13.344054793640636</v>
      </c>
      <c r="F9" s="75">
        <v>12.47025679944422</v>
      </c>
      <c r="G9" s="75">
        <v>11.820140997377923</v>
      </c>
      <c r="H9" s="75">
        <v>12.303811601977783</v>
      </c>
      <c r="I9" s="75">
        <v>13.516805019120506</v>
      </c>
      <c r="J9" s="75">
        <v>11.968512755403919</v>
      </c>
      <c r="K9" s="75">
        <v>9.83076941716633</v>
      </c>
      <c r="L9" s="75">
        <v>11.620067972721964</v>
      </c>
      <c r="M9" s="75">
        <v>10.445895552384627</v>
      </c>
      <c r="N9" s="75">
        <v>11.330298217440561</v>
      </c>
      <c r="O9" s="75">
        <v>10.884024620448535</v>
      </c>
      <c r="P9" s="75">
        <v>10.038092010901794</v>
      </c>
      <c r="Q9" s="75">
        <v>10.199844319370719</v>
      </c>
      <c r="R9" s="75">
        <v>6.7729987686547339</v>
      </c>
      <c r="S9" s="75">
        <v>8.1301373069505996</v>
      </c>
      <c r="T9" s="75">
        <v>8.2042260542245273</v>
      </c>
      <c r="U9" s="75">
        <v>9.753245557108519</v>
      </c>
      <c r="V9" s="75">
        <v>10.61732723583874</v>
      </c>
    </row>
    <row r="10" spans="1:22" x14ac:dyDescent="0.2">
      <c r="A10" s="7" t="s">
        <v>1</v>
      </c>
      <c r="B10" s="75">
        <v>16.945547787174295</v>
      </c>
      <c r="C10" s="75">
        <v>17.358440343626359</v>
      </c>
      <c r="D10" s="75">
        <v>19.177348839448193</v>
      </c>
      <c r="E10" s="75">
        <v>17.387501307804865</v>
      </c>
      <c r="F10" s="75">
        <v>17.576924851946131</v>
      </c>
      <c r="G10" s="75">
        <v>17.72737906332544</v>
      </c>
      <c r="H10" s="75">
        <v>17.261206331031357</v>
      </c>
      <c r="I10" s="75">
        <v>18.459798631257037</v>
      </c>
      <c r="J10" s="75">
        <v>16.733172557155129</v>
      </c>
      <c r="K10" s="75">
        <v>14.519362835270266</v>
      </c>
      <c r="L10" s="75">
        <v>15.995190241675051</v>
      </c>
      <c r="M10" s="75">
        <v>15.266672279879314</v>
      </c>
      <c r="N10" s="75">
        <v>15.638767898356765</v>
      </c>
      <c r="O10" s="75">
        <v>15.685163950335626</v>
      </c>
      <c r="P10" s="75">
        <v>14.011909131018282</v>
      </c>
      <c r="Q10" s="75">
        <v>16.127806864378755</v>
      </c>
      <c r="R10" s="75">
        <v>9.6218668716139266</v>
      </c>
      <c r="S10" s="75">
        <v>10.892755504126548</v>
      </c>
      <c r="T10" s="75">
        <v>10.97287777043587</v>
      </c>
      <c r="U10" s="75">
        <v>14.807957496627679</v>
      </c>
      <c r="V10" s="75">
        <v>14.914574642401817</v>
      </c>
    </row>
    <row r="11" spans="1:22" x14ac:dyDescent="0.2">
      <c r="A11" s="7" t="s">
        <v>74</v>
      </c>
      <c r="B11" s="75">
        <v>14.529932324775977</v>
      </c>
      <c r="C11" s="75">
        <v>12.068658553087786</v>
      </c>
      <c r="D11" s="75">
        <v>14.974937582773991</v>
      </c>
      <c r="E11" s="75">
        <v>14.144077536266844</v>
      </c>
      <c r="F11" s="75">
        <v>13.530736600329485</v>
      </c>
      <c r="G11" s="75">
        <v>13.971343713396584</v>
      </c>
      <c r="H11" s="75">
        <v>13.947638291427214</v>
      </c>
      <c r="I11" s="75">
        <v>14.958496959148251</v>
      </c>
      <c r="J11" s="75">
        <v>13.234291117154145</v>
      </c>
      <c r="K11" s="75">
        <v>11.923518311871797</v>
      </c>
      <c r="L11" s="75">
        <v>13.235240597041587</v>
      </c>
      <c r="M11" s="75">
        <v>10.328284968576087</v>
      </c>
      <c r="N11" s="75">
        <v>11.987797662663588</v>
      </c>
      <c r="O11" s="75">
        <v>13.495650439890714</v>
      </c>
      <c r="P11" s="75">
        <v>12.109692059083306</v>
      </c>
      <c r="Q11" s="75">
        <v>13.344674637113824</v>
      </c>
      <c r="R11" s="75">
        <v>8.0455845248107654</v>
      </c>
      <c r="S11" s="75">
        <v>9.8116046426582635</v>
      </c>
      <c r="T11" s="75">
        <v>9.6701188763711041</v>
      </c>
      <c r="U11" s="75">
        <v>11.379734947553477</v>
      </c>
      <c r="V11" s="75">
        <v>11.843769381252885</v>
      </c>
    </row>
    <row r="12" spans="1:22" x14ac:dyDescent="0.2">
      <c r="A12" s="7" t="s">
        <v>5</v>
      </c>
      <c r="B12" s="75">
        <v>17.585084809708707</v>
      </c>
      <c r="C12" s="75">
        <v>7.6293816604724896</v>
      </c>
      <c r="D12" s="75">
        <v>8.1288028393007927</v>
      </c>
      <c r="E12" s="75">
        <v>9.5605321818095756</v>
      </c>
      <c r="F12" s="75">
        <v>9.9501999157205248</v>
      </c>
      <c r="G12" s="75">
        <v>12.112324708480166</v>
      </c>
      <c r="H12" s="75">
        <v>13.82955922070567</v>
      </c>
      <c r="I12" s="75">
        <v>14.544390390217846</v>
      </c>
      <c r="J12" s="75">
        <v>14.955708538712791</v>
      </c>
      <c r="K12" s="75">
        <v>13.611193407215522</v>
      </c>
      <c r="L12" s="75">
        <v>18.534854407950018</v>
      </c>
      <c r="M12" s="75">
        <v>10.132670781505343</v>
      </c>
      <c r="N12" s="75">
        <v>11.834928641719891</v>
      </c>
      <c r="O12" s="75">
        <v>13.658293458533608</v>
      </c>
      <c r="P12" s="75">
        <v>13.097664745099813</v>
      </c>
      <c r="Q12" s="75">
        <v>12.783247864349423</v>
      </c>
      <c r="R12" s="75">
        <v>7.2130175056920116</v>
      </c>
      <c r="S12" s="75">
        <v>9.4607279486404696</v>
      </c>
      <c r="T12" s="75">
        <v>9.3173363940466434</v>
      </c>
      <c r="U12" s="75">
        <v>12.028125496035766</v>
      </c>
      <c r="V12" s="75">
        <v>11.524842522903837</v>
      </c>
    </row>
    <row r="13" spans="1:22" x14ac:dyDescent="0.2">
      <c r="A13" s="7" t="s">
        <v>77</v>
      </c>
      <c r="B13" s="75">
        <v>12.290864405490272</v>
      </c>
      <c r="C13" s="75">
        <v>11.147077661578301</v>
      </c>
      <c r="D13" s="75">
        <v>12.478876147136114</v>
      </c>
      <c r="E13" s="75">
        <v>11.739810855915094</v>
      </c>
      <c r="F13" s="75">
        <v>11.371744145353778</v>
      </c>
      <c r="G13" s="75">
        <v>11.385872927066025</v>
      </c>
      <c r="H13" s="75">
        <v>10.89015038566019</v>
      </c>
      <c r="I13" s="75">
        <v>11.975488093671173</v>
      </c>
      <c r="J13" s="75">
        <v>10.829388855065854</v>
      </c>
      <c r="K13" s="75">
        <v>10.309377067068896</v>
      </c>
      <c r="L13" s="75">
        <v>10.242709283516714</v>
      </c>
      <c r="M13" s="75">
        <v>10.569965041451107</v>
      </c>
      <c r="N13" s="75">
        <v>11.113177923878901</v>
      </c>
      <c r="O13" s="75">
        <v>10.797143442742867</v>
      </c>
      <c r="P13" s="75">
        <v>10.509521050138387</v>
      </c>
      <c r="Q13" s="75">
        <v>11.056375818302664</v>
      </c>
      <c r="R13" s="75">
        <v>6.7400836491313081</v>
      </c>
      <c r="S13" s="75">
        <v>8.9952312118610322</v>
      </c>
      <c r="T13" s="75">
        <v>8.5345392525773125</v>
      </c>
      <c r="U13" s="75">
        <v>10.030901133871708</v>
      </c>
      <c r="V13" s="75">
        <v>10.170908757317358</v>
      </c>
    </row>
    <row r="14" spans="1:22" x14ac:dyDescent="0.2">
      <c r="A14" s="7" t="s">
        <v>78</v>
      </c>
      <c r="B14" s="75">
        <v>13.337769995671023</v>
      </c>
      <c r="C14" s="75">
        <v>13.110386431269347</v>
      </c>
      <c r="D14" s="75">
        <v>13.826284898157715</v>
      </c>
      <c r="E14" s="75">
        <v>12.738858316462281</v>
      </c>
      <c r="F14" s="75">
        <v>13.653617571250026</v>
      </c>
      <c r="G14" s="75">
        <v>12.727919306609014</v>
      </c>
      <c r="H14" s="75">
        <v>12.545568197506125</v>
      </c>
      <c r="I14" s="75">
        <v>13.968761641526809</v>
      </c>
      <c r="J14" s="75">
        <v>12.774597568295251</v>
      </c>
      <c r="K14" s="75">
        <v>11.807732968829157</v>
      </c>
      <c r="L14" s="75">
        <v>12.688984809311926</v>
      </c>
      <c r="M14" s="75">
        <v>12.578019521985039</v>
      </c>
      <c r="N14" s="75">
        <v>13.060017273574584</v>
      </c>
      <c r="O14" s="75">
        <v>13.066485586995197</v>
      </c>
      <c r="P14" s="75">
        <v>12.830385923250894</v>
      </c>
      <c r="Q14" s="75">
        <v>12.864105361156437</v>
      </c>
      <c r="R14" s="75">
        <v>8.1211387474134646</v>
      </c>
      <c r="S14" s="75">
        <v>9.4072943921189403</v>
      </c>
      <c r="T14" s="75">
        <v>9.526374916149857</v>
      </c>
      <c r="U14" s="75">
        <v>11.858940959312395</v>
      </c>
      <c r="V14" s="75">
        <v>11.927872351895232</v>
      </c>
    </row>
    <row r="15" spans="1:22" x14ac:dyDescent="0.2">
      <c r="A15" s="7" t="s">
        <v>2</v>
      </c>
      <c r="B15" s="75">
        <v>15.180735565189091</v>
      </c>
      <c r="C15" s="75">
        <v>14.320155990524084</v>
      </c>
      <c r="D15" s="75">
        <v>14.867871137485517</v>
      </c>
      <c r="E15" s="75">
        <v>13.643478563969591</v>
      </c>
      <c r="F15" s="75">
        <v>13.577192776676961</v>
      </c>
      <c r="G15" s="75">
        <v>12.41424350951625</v>
      </c>
      <c r="H15" s="75">
        <v>12.969622106919601</v>
      </c>
      <c r="I15" s="75">
        <v>13.671353632979427</v>
      </c>
      <c r="J15" s="75">
        <v>13.083952338225464</v>
      </c>
      <c r="K15" s="75">
        <v>12.218113773772309</v>
      </c>
      <c r="L15" s="75">
        <v>12.662062431222276</v>
      </c>
      <c r="M15" s="75">
        <v>11.218573121360663</v>
      </c>
      <c r="N15" s="75">
        <v>12.228991150609781</v>
      </c>
      <c r="O15" s="75">
        <v>12.024673091217428</v>
      </c>
      <c r="P15" s="75">
        <v>10.863202844253838</v>
      </c>
      <c r="Q15" s="75">
        <v>11.700032135957853</v>
      </c>
      <c r="R15" s="75">
        <v>7.8789621961571283</v>
      </c>
      <c r="S15" s="75">
        <v>9.2614162264490183</v>
      </c>
      <c r="T15" s="75">
        <v>9.0348597474039813</v>
      </c>
      <c r="U15" s="75">
        <v>10.076782492076626</v>
      </c>
      <c r="V15" s="75">
        <v>10.258175375217474</v>
      </c>
    </row>
    <row r="16" spans="1:22" x14ac:dyDescent="0.2">
      <c r="A16" s="7" t="s">
        <v>75</v>
      </c>
      <c r="B16" s="75">
        <v>11.168379698448122</v>
      </c>
      <c r="C16" s="75">
        <v>10.676201402770749</v>
      </c>
      <c r="D16" s="75">
        <v>12.986203305229187</v>
      </c>
      <c r="E16" s="75">
        <v>11.749586986061566</v>
      </c>
      <c r="F16" s="75">
        <v>12.071215076944288</v>
      </c>
      <c r="G16" s="75">
        <v>10.736112941406313</v>
      </c>
      <c r="H16" s="75">
        <v>11.345555662613201</v>
      </c>
      <c r="I16" s="75">
        <v>12.324162685114013</v>
      </c>
      <c r="J16" s="75">
        <v>10.990206350922886</v>
      </c>
      <c r="K16" s="75">
        <v>9.9372219263874868</v>
      </c>
      <c r="L16" s="75">
        <v>10.486579938728921</v>
      </c>
      <c r="M16" s="75">
        <v>10.689020148826751</v>
      </c>
      <c r="N16" s="75">
        <v>11.713769023445225</v>
      </c>
      <c r="O16" s="75">
        <v>11.895582054022389</v>
      </c>
      <c r="P16" s="75">
        <v>11.758530535181658</v>
      </c>
      <c r="Q16" s="75">
        <v>11.759840857593311</v>
      </c>
      <c r="R16" s="75">
        <v>8.091677321771769</v>
      </c>
      <c r="S16" s="75">
        <v>9.4501327803474542</v>
      </c>
      <c r="T16" s="75">
        <v>8.5368180843800356</v>
      </c>
      <c r="U16" s="75">
        <v>11.055037640293044</v>
      </c>
      <c r="V16" s="75">
        <v>10.93040124551016</v>
      </c>
    </row>
    <row r="17" spans="1:22" x14ac:dyDescent="0.2">
      <c r="A17" s="7" t="s">
        <v>79</v>
      </c>
      <c r="B17" s="75">
        <v>13.607832439069984</v>
      </c>
      <c r="C17" s="75">
        <v>12.505721542278131</v>
      </c>
      <c r="D17" s="75">
        <v>13.838180398730771</v>
      </c>
      <c r="E17" s="75">
        <v>12.577482458005528</v>
      </c>
      <c r="F17" s="75">
        <v>12.176745426090854</v>
      </c>
      <c r="G17" s="75">
        <v>12.110797014500417</v>
      </c>
      <c r="H17" s="75">
        <v>12.108991710730296</v>
      </c>
      <c r="I17" s="75">
        <v>12.848224936864558</v>
      </c>
      <c r="J17" s="75">
        <v>11.31920884134956</v>
      </c>
      <c r="K17" s="75">
        <v>10.215131315938077</v>
      </c>
      <c r="L17" s="75">
        <v>11.055803564041172</v>
      </c>
      <c r="M17" s="75">
        <v>9.9749514916324991</v>
      </c>
      <c r="N17" s="75">
        <v>10.31662423170264</v>
      </c>
      <c r="O17" s="75">
        <v>9.6830505107191165</v>
      </c>
      <c r="P17" s="75">
        <v>9.7381507345951004</v>
      </c>
      <c r="Q17" s="75">
        <v>10.142634067277106</v>
      </c>
      <c r="R17" s="75">
        <v>7.0655569434753751</v>
      </c>
      <c r="S17" s="75">
        <v>8.7559013331947231</v>
      </c>
      <c r="T17" s="75">
        <v>7.9569406334327741</v>
      </c>
      <c r="U17" s="75">
        <v>9.2922746020858948</v>
      </c>
      <c r="V17" s="75">
        <v>9.7112246025703683</v>
      </c>
    </row>
    <row r="18" spans="1:22" x14ac:dyDescent="0.2">
      <c r="A18" s="7" t="s">
        <v>80</v>
      </c>
      <c r="B18" s="75">
        <v>15.041490081096676</v>
      </c>
      <c r="C18" s="75">
        <v>13.778634072124806</v>
      </c>
      <c r="D18" s="75">
        <v>15.910012825980935</v>
      </c>
      <c r="E18" s="75">
        <v>14.864162751825468</v>
      </c>
      <c r="F18" s="75">
        <v>14.107304867141298</v>
      </c>
      <c r="G18" s="75">
        <v>14.13277145941893</v>
      </c>
      <c r="H18" s="75">
        <v>14.263686030396148</v>
      </c>
      <c r="I18" s="75">
        <v>15.002401618044079</v>
      </c>
      <c r="J18" s="75">
        <v>12.983735165775201</v>
      </c>
      <c r="K18" s="75">
        <v>11.989483132562274</v>
      </c>
      <c r="L18" s="75">
        <v>12.374021711921982</v>
      </c>
      <c r="M18" s="75">
        <v>12.151740402076378</v>
      </c>
      <c r="N18" s="75">
        <v>12.772291051723064</v>
      </c>
      <c r="O18" s="75">
        <v>11.863571355996873</v>
      </c>
      <c r="P18" s="75">
        <v>11.633243579689537</v>
      </c>
      <c r="Q18" s="75">
        <v>12.215475175757588</v>
      </c>
      <c r="R18" s="75">
        <v>8.4786923652401818</v>
      </c>
      <c r="S18" s="75">
        <v>9.6983731584302664</v>
      </c>
      <c r="T18" s="75">
        <v>9.7138423794451807</v>
      </c>
      <c r="U18" s="75">
        <v>11.332977935665509</v>
      </c>
      <c r="V18" s="75">
        <v>11.783208132885859</v>
      </c>
    </row>
    <row r="19" spans="1:22" x14ac:dyDescent="0.2">
      <c r="A19" s="7" t="s">
        <v>3</v>
      </c>
      <c r="B19" s="75">
        <v>15.185324881687967</v>
      </c>
      <c r="C19" s="75">
        <v>14.041093167347816</v>
      </c>
      <c r="D19" s="75">
        <v>16.568394926687912</v>
      </c>
      <c r="E19" s="75">
        <v>15.767455747895248</v>
      </c>
      <c r="F19" s="75">
        <v>16.075765262522893</v>
      </c>
      <c r="G19" s="75">
        <v>15.159681958544713</v>
      </c>
      <c r="H19" s="75">
        <v>14.737413745634367</v>
      </c>
      <c r="I19" s="75">
        <v>15.865971298562464</v>
      </c>
      <c r="J19" s="75">
        <v>14.733480682149864</v>
      </c>
      <c r="K19" s="75">
        <v>13.084664224816468</v>
      </c>
      <c r="L19" s="75">
        <v>14.925363022460658</v>
      </c>
      <c r="M19" s="75">
        <v>14.884763553477578</v>
      </c>
      <c r="N19" s="75">
        <v>13.603602387476901</v>
      </c>
      <c r="O19" s="75">
        <v>13.88836071726735</v>
      </c>
      <c r="P19" s="75">
        <v>12.960001401895996</v>
      </c>
      <c r="Q19" s="75">
        <v>13.965169878867156</v>
      </c>
      <c r="R19" s="75">
        <v>9.793314035987347</v>
      </c>
      <c r="S19" s="75">
        <v>12.362842814580798</v>
      </c>
      <c r="T19" s="75">
        <v>11.054539393937544</v>
      </c>
      <c r="U19" s="75">
        <v>12.835735879837209</v>
      </c>
      <c r="V19" s="75">
        <v>14.24949072096971</v>
      </c>
    </row>
    <row r="20" spans="1:22" x14ac:dyDescent="0.2">
      <c r="A20" s="7" t="s">
        <v>4</v>
      </c>
      <c r="B20" s="75">
        <v>15.825929160957305</v>
      </c>
      <c r="C20" s="75">
        <v>12.798511531694595</v>
      </c>
      <c r="D20" s="75">
        <v>13.404060378548541</v>
      </c>
      <c r="E20" s="75">
        <v>12.634425105967642</v>
      </c>
      <c r="F20" s="75">
        <v>12.713753254005402</v>
      </c>
      <c r="G20" s="75">
        <v>12.066712002524506</v>
      </c>
      <c r="H20" s="75">
        <v>12.783474763870869</v>
      </c>
      <c r="I20" s="75">
        <v>13.997862097617961</v>
      </c>
      <c r="J20" s="75">
        <v>12.506547918916</v>
      </c>
      <c r="K20" s="75">
        <v>11.619608269887074</v>
      </c>
      <c r="L20" s="75">
        <v>11.621036467785732</v>
      </c>
      <c r="M20" s="75">
        <v>11.204288407397707</v>
      </c>
      <c r="N20" s="75">
        <v>11.372757804623831</v>
      </c>
      <c r="O20" s="75">
        <v>10.594958866522106</v>
      </c>
      <c r="P20" s="75">
        <v>10.328099149424839</v>
      </c>
      <c r="Q20" s="75">
        <v>10.848601107217384</v>
      </c>
      <c r="R20" s="75">
        <v>7.2749133537248936</v>
      </c>
      <c r="S20" s="75">
        <v>8.9745246689243992</v>
      </c>
      <c r="T20" s="75">
        <v>8.6975559143024981</v>
      </c>
      <c r="U20" s="75">
        <v>10.49176018948171</v>
      </c>
      <c r="V20" s="75">
        <v>11.432838050360722</v>
      </c>
    </row>
    <row r="21" spans="1:22" s="48" customFormat="1" x14ac:dyDescent="0.2">
      <c r="A21" s="49" t="s">
        <v>0</v>
      </c>
      <c r="B21" s="76">
        <v>14.748322001432879</v>
      </c>
      <c r="C21" s="76">
        <v>13.293778752510899</v>
      </c>
      <c r="D21" s="76">
        <v>14.78718366359853</v>
      </c>
      <c r="E21" s="76">
        <v>13.789704947101026</v>
      </c>
      <c r="F21" s="76">
        <v>13.660841836622803</v>
      </c>
      <c r="G21" s="76">
        <v>13.130044030679752</v>
      </c>
      <c r="H21" s="76">
        <v>13.255954319285404</v>
      </c>
      <c r="I21" s="76">
        <v>14.207530685298467</v>
      </c>
      <c r="J21" s="76">
        <v>12.790177791550594</v>
      </c>
      <c r="K21" s="76">
        <v>11.722618878826061</v>
      </c>
      <c r="L21" s="76">
        <v>12.474755595788437</v>
      </c>
      <c r="M21" s="76">
        <v>11.782106151980686</v>
      </c>
      <c r="N21" s="76">
        <v>12.382282016019756</v>
      </c>
      <c r="O21" s="76">
        <v>12.030582975610919</v>
      </c>
      <c r="P21" s="76">
        <v>11.455522802750865</v>
      </c>
      <c r="Q21" s="76">
        <v>12.082625094675608</v>
      </c>
      <c r="R21" s="76">
        <v>7.9981135473893934</v>
      </c>
      <c r="S21" s="76">
        <v>9.6369535290333488</v>
      </c>
      <c r="T21" s="76">
        <v>9.3183892507378285</v>
      </c>
      <c r="U21" s="76">
        <v>11.046459644073156</v>
      </c>
      <c r="V21" s="76">
        <v>11.447079810234881</v>
      </c>
    </row>
  </sheetData>
  <phoneticPr fontId="21" type="noConversion"/>
  <hyperlinks>
    <hyperlink ref="A2" location="Sommaire!A1" display="Retour au menu &quot;Exploitation des films&quot;" xr:uid="{00000000-0004-0000-1E00-000000000000}"/>
  </hyperlinks>
  <pageMargins left="0.78740157499999996" right="0.78740157499999996" top="0.984251969" bottom="0.984251969" header="0.4921259845" footer="0.492125984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92</v>
      </c>
    </row>
    <row r="6" spans="1:22" ht="3" customHeight="1" x14ac:dyDescent="0.2"/>
    <row r="7" spans="1:22" s="48" customFormat="1" x14ac:dyDescent="0.2">
      <c r="A7" s="14"/>
      <c r="B7" s="69" t="s">
        <v>37</v>
      </c>
      <c r="C7" s="69" t="s">
        <v>38</v>
      </c>
      <c r="D7" s="69" t="s">
        <v>39</v>
      </c>
      <c r="E7" s="69" t="s">
        <v>40</v>
      </c>
      <c r="F7" s="69" t="s">
        <v>41</v>
      </c>
      <c r="G7" s="69" t="s">
        <v>42</v>
      </c>
      <c r="H7" s="69" t="s">
        <v>43</v>
      </c>
      <c r="I7" s="77">
        <v>2011</v>
      </c>
      <c r="J7" s="69">
        <v>2012</v>
      </c>
      <c r="K7" s="77">
        <v>2013</v>
      </c>
      <c r="L7" s="69">
        <v>2014</v>
      </c>
      <c r="M7" s="77">
        <v>2015</v>
      </c>
      <c r="N7" s="69">
        <v>2016</v>
      </c>
      <c r="O7" s="77">
        <v>2017</v>
      </c>
      <c r="P7" s="69">
        <v>2018</v>
      </c>
      <c r="Q7" s="77">
        <v>2019</v>
      </c>
      <c r="R7" s="77">
        <v>2020</v>
      </c>
      <c r="S7" s="77">
        <v>2021</v>
      </c>
      <c r="T7" s="77">
        <v>2022</v>
      </c>
      <c r="U7" s="77">
        <v>2023</v>
      </c>
      <c r="V7" s="77">
        <v>2024</v>
      </c>
    </row>
    <row r="8" spans="1:22" x14ac:dyDescent="0.2">
      <c r="A8" s="7" t="s">
        <v>72</v>
      </c>
      <c r="B8" s="78">
        <v>63</v>
      </c>
      <c r="C8" s="78">
        <v>58</v>
      </c>
      <c r="D8" s="78">
        <v>60</v>
      </c>
      <c r="E8" s="78">
        <v>71</v>
      </c>
      <c r="F8" s="78">
        <v>65</v>
      </c>
      <c r="G8" s="78">
        <v>58</v>
      </c>
      <c r="H8" s="78">
        <v>58</v>
      </c>
      <c r="I8" s="78">
        <v>54</v>
      </c>
      <c r="J8" s="78">
        <v>63</v>
      </c>
      <c r="K8" s="78">
        <v>51</v>
      </c>
      <c r="L8" s="78">
        <v>51</v>
      </c>
      <c r="M8" s="78">
        <v>49</v>
      </c>
      <c r="N8" s="78">
        <v>53</v>
      </c>
      <c r="O8" s="78">
        <v>52</v>
      </c>
      <c r="P8" s="78">
        <v>48</v>
      </c>
      <c r="Q8" s="78">
        <v>52</v>
      </c>
      <c r="R8" s="78">
        <v>48</v>
      </c>
      <c r="S8" s="78">
        <v>57</v>
      </c>
      <c r="T8" s="78">
        <v>52</v>
      </c>
      <c r="U8" s="78">
        <v>50</v>
      </c>
      <c r="V8" s="78">
        <v>57</v>
      </c>
    </row>
    <row r="9" spans="1:22" x14ac:dyDescent="0.2">
      <c r="A9" s="7" t="s">
        <v>73</v>
      </c>
      <c r="B9" s="78">
        <v>18</v>
      </c>
      <c r="C9" s="78">
        <v>17</v>
      </c>
      <c r="D9" s="78">
        <v>18</v>
      </c>
      <c r="E9" s="78">
        <v>24</v>
      </c>
      <c r="F9" s="78">
        <v>17</v>
      </c>
      <c r="G9" s="78">
        <v>14</v>
      </c>
      <c r="H9" s="78">
        <v>18</v>
      </c>
      <c r="I9" s="78">
        <v>17</v>
      </c>
      <c r="J9" s="78">
        <v>17</v>
      </c>
      <c r="K9" s="78">
        <v>18</v>
      </c>
      <c r="L9" s="78">
        <v>13</v>
      </c>
      <c r="M9" s="78">
        <v>12</v>
      </c>
      <c r="N9" s="78">
        <v>12</v>
      </c>
      <c r="O9" s="78">
        <v>13</v>
      </c>
      <c r="P9" s="78">
        <v>13</v>
      </c>
      <c r="Q9" s="78">
        <v>11</v>
      </c>
      <c r="R9" s="78">
        <v>14</v>
      </c>
      <c r="S9" s="78">
        <v>16</v>
      </c>
      <c r="T9" s="78">
        <v>20</v>
      </c>
      <c r="U9" s="78">
        <v>15</v>
      </c>
      <c r="V9" s="78">
        <v>15</v>
      </c>
    </row>
    <row r="10" spans="1:22" x14ac:dyDescent="0.2">
      <c r="A10" s="7" t="s">
        <v>1</v>
      </c>
      <c r="B10" s="78">
        <v>16</v>
      </c>
      <c r="C10" s="78">
        <v>18</v>
      </c>
      <c r="D10" s="78">
        <v>18</v>
      </c>
      <c r="E10" s="78">
        <v>16</v>
      </c>
      <c r="F10" s="78">
        <v>25</v>
      </c>
      <c r="G10" s="78">
        <v>23</v>
      </c>
      <c r="H10" s="78">
        <v>20</v>
      </c>
      <c r="I10" s="78">
        <v>19</v>
      </c>
      <c r="J10" s="78">
        <v>20</v>
      </c>
      <c r="K10" s="78">
        <v>23</v>
      </c>
      <c r="L10" s="78">
        <v>20</v>
      </c>
      <c r="M10" s="78">
        <v>20</v>
      </c>
      <c r="N10" s="78">
        <v>19</v>
      </c>
      <c r="O10" s="78">
        <v>20</v>
      </c>
      <c r="P10" s="78">
        <v>20</v>
      </c>
      <c r="Q10" s="78">
        <v>24</v>
      </c>
      <c r="R10" s="78">
        <v>17</v>
      </c>
      <c r="S10" s="78">
        <v>18</v>
      </c>
      <c r="T10" s="78">
        <v>25</v>
      </c>
      <c r="U10" s="78">
        <v>26</v>
      </c>
      <c r="V10" s="78">
        <v>23</v>
      </c>
    </row>
    <row r="11" spans="1:22" x14ac:dyDescent="0.2">
      <c r="A11" s="7" t="s">
        <v>74</v>
      </c>
      <c r="B11" s="78">
        <v>7</v>
      </c>
      <c r="C11" s="78">
        <v>9</v>
      </c>
      <c r="D11" s="78">
        <v>7</v>
      </c>
      <c r="E11" s="78">
        <v>11</v>
      </c>
      <c r="F11" s="78">
        <v>8</v>
      </c>
      <c r="G11" s="78">
        <v>9</v>
      </c>
      <c r="H11" s="78">
        <v>9</v>
      </c>
      <c r="I11" s="78">
        <v>9</v>
      </c>
      <c r="J11" s="78">
        <v>9</v>
      </c>
      <c r="K11" s="78">
        <v>10</v>
      </c>
      <c r="L11" s="78">
        <v>9</v>
      </c>
      <c r="M11" s="78">
        <v>8</v>
      </c>
      <c r="N11" s="78">
        <v>8</v>
      </c>
      <c r="O11" s="78">
        <v>7</v>
      </c>
      <c r="P11" s="78">
        <v>8</v>
      </c>
      <c r="Q11" s="78">
        <v>7</v>
      </c>
      <c r="R11" s="78">
        <v>11</v>
      </c>
      <c r="S11" s="78">
        <v>9</v>
      </c>
      <c r="T11" s="78">
        <v>9</v>
      </c>
      <c r="U11" s="78">
        <v>10</v>
      </c>
      <c r="V11" s="78">
        <v>12</v>
      </c>
    </row>
    <row r="12" spans="1:22" x14ac:dyDescent="0.2">
      <c r="A12" s="7" t="s">
        <v>5</v>
      </c>
      <c r="B12" s="78">
        <v>6</v>
      </c>
      <c r="C12" s="78">
        <v>2</v>
      </c>
      <c r="D12" s="78">
        <v>2</v>
      </c>
      <c r="E12" s="78">
        <v>2</v>
      </c>
      <c r="F12" s="78">
        <v>2</v>
      </c>
      <c r="G12" s="78">
        <v>2</v>
      </c>
      <c r="H12" s="78">
        <v>2</v>
      </c>
      <c r="I12" s="78">
        <v>2</v>
      </c>
      <c r="J12" s="78">
        <v>0</v>
      </c>
      <c r="K12" s="78">
        <v>0</v>
      </c>
      <c r="L12" s="78">
        <v>8</v>
      </c>
      <c r="M12" s="78">
        <v>3</v>
      </c>
      <c r="N12" s="78">
        <v>2</v>
      </c>
      <c r="O12" s="78">
        <v>2</v>
      </c>
      <c r="P12" s="78">
        <v>2</v>
      </c>
      <c r="Q12" s="78">
        <v>2</v>
      </c>
      <c r="R12" s="78">
        <v>1</v>
      </c>
      <c r="S12" s="78">
        <v>1</v>
      </c>
      <c r="T12" s="78">
        <v>3</v>
      </c>
      <c r="U12" s="78">
        <v>3</v>
      </c>
      <c r="V12" s="78">
        <v>3</v>
      </c>
    </row>
    <row r="13" spans="1:22" x14ac:dyDescent="0.2">
      <c r="A13" s="7" t="s">
        <v>77</v>
      </c>
      <c r="B13" s="78">
        <v>23</v>
      </c>
      <c r="C13" s="78">
        <v>20</v>
      </c>
      <c r="D13" s="78">
        <v>23</v>
      </c>
      <c r="E13" s="78">
        <v>19</v>
      </c>
      <c r="F13" s="78">
        <v>24</v>
      </c>
      <c r="G13" s="78">
        <v>23</v>
      </c>
      <c r="H13" s="78">
        <v>23</v>
      </c>
      <c r="I13" s="78">
        <v>23</v>
      </c>
      <c r="J13" s="78">
        <v>23</v>
      </c>
      <c r="K13" s="78">
        <v>23</v>
      </c>
      <c r="L13" s="78">
        <v>24</v>
      </c>
      <c r="M13" s="78">
        <v>29</v>
      </c>
      <c r="N13" s="78">
        <v>25</v>
      </c>
      <c r="O13" s="78">
        <v>29</v>
      </c>
      <c r="P13" s="78">
        <v>26</v>
      </c>
      <c r="Q13" s="78">
        <v>25</v>
      </c>
      <c r="R13" s="78">
        <v>26</v>
      </c>
      <c r="S13" s="78">
        <v>31</v>
      </c>
      <c r="T13" s="78">
        <v>29</v>
      </c>
      <c r="U13" s="78">
        <v>30</v>
      </c>
      <c r="V13" s="78">
        <v>34</v>
      </c>
    </row>
    <row r="14" spans="1:22" x14ac:dyDescent="0.2">
      <c r="A14" s="7" t="s">
        <v>78</v>
      </c>
      <c r="B14" s="78">
        <v>17</v>
      </c>
      <c r="C14" s="78">
        <v>17</v>
      </c>
      <c r="D14" s="78">
        <v>18</v>
      </c>
      <c r="E14" s="78">
        <v>21</v>
      </c>
      <c r="F14" s="78">
        <v>16</v>
      </c>
      <c r="G14" s="78">
        <v>17</v>
      </c>
      <c r="H14" s="78">
        <v>16</v>
      </c>
      <c r="I14" s="78">
        <v>17</v>
      </c>
      <c r="J14" s="78">
        <v>17</v>
      </c>
      <c r="K14" s="78">
        <v>20</v>
      </c>
      <c r="L14" s="78">
        <v>21</v>
      </c>
      <c r="M14" s="78">
        <v>22</v>
      </c>
      <c r="N14" s="78">
        <v>23</v>
      </c>
      <c r="O14" s="78">
        <v>24</v>
      </c>
      <c r="P14" s="78">
        <v>25</v>
      </c>
      <c r="Q14" s="78">
        <v>24</v>
      </c>
      <c r="R14" s="78">
        <v>22</v>
      </c>
      <c r="S14" s="78">
        <v>22</v>
      </c>
      <c r="T14" s="78">
        <v>33</v>
      </c>
      <c r="U14" s="78">
        <v>32</v>
      </c>
      <c r="V14" s="78">
        <v>36</v>
      </c>
    </row>
    <row r="15" spans="1:22" x14ac:dyDescent="0.2">
      <c r="A15" s="7" t="s">
        <v>2</v>
      </c>
      <c r="B15" s="78">
        <v>79</v>
      </c>
      <c r="C15" s="78">
        <v>80</v>
      </c>
      <c r="D15" s="78">
        <v>63</v>
      </c>
      <c r="E15" s="78">
        <v>76</v>
      </c>
      <c r="F15" s="78">
        <v>75</v>
      </c>
      <c r="G15" s="78">
        <v>74</v>
      </c>
      <c r="H15" s="78">
        <v>73</v>
      </c>
      <c r="I15" s="78">
        <v>79</v>
      </c>
      <c r="J15" s="78">
        <v>67</v>
      </c>
      <c r="K15" s="78">
        <v>73</v>
      </c>
      <c r="L15" s="78">
        <v>75</v>
      </c>
      <c r="M15" s="78">
        <v>74</v>
      </c>
      <c r="N15" s="78">
        <v>84</v>
      </c>
      <c r="O15" s="78">
        <v>86</v>
      </c>
      <c r="P15" s="78">
        <v>82</v>
      </c>
      <c r="Q15" s="78">
        <v>87</v>
      </c>
      <c r="R15" s="78">
        <v>99</v>
      </c>
      <c r="S15" s="78">
        <v>91</v>
      </c>
      <c r="T15" s="78">
        <v>80</v>
      </c>
      <c r="U15" s="78">
        <v>80</v>
      </c>
      <c r="V15" s="78">
        <v>83</v>
      </c>
    </row>
    <row r="16" spans="1:22" x14ac:dyDescent="0.2">
      <c r="A16" s="7" t="s">
        <v>75</v>
      </c>
      <c r="B16" s="78">
        <v>24</v>
      </c>
      <c r="C16" s="78">
        <v>20</v>
      </c>
      <c r="D16" s="78">
        <v>23</v>
      </c>
      <c r="E16" s="78">
        <v>21</v>
      </c>
      <c r="F16" s="78">
        <v>21</v>
      </c>
      <c r="G16" s="78">
        <v>19</v>
      </c>
      <c r="H16" s="78">
        <v>17</v>
      </c>
      <c r="I16" s="78">
        <v>22</v>
      </c>
      <c r="J16" s="78">
        <v>19</v>
      </c>
      <c r="K16" s="78">
        <v>17</v>
      </c>
      <c r="L16" s="78">
        <v>19</v>
      </c>
      <c r="M16" s="78">
        <v>18</v>
      </c>
      <c r="N16" s="78">
        <v>23</v>
      </c>
      <c r="O16" s="78">
        <v>22</v>
      </c>
      <c r="P16" s="78">
        <v>22</v>
      </c>
      <c r="Q16" s="78">
        <v>24</v>
      </c>
      <c r="R16" s="78">
        <v>13</v>
      </c>
      <c r="S16" s="78">
        <v>13</v>
      </c>
      <c r="T16" s="78">
        <v>19</v>
      </c>
      <c r="U16" s="78">
        <v>19</v>
      </c>
      <c r="V16" s="78">
        <v>22</v>
      </c>
    </row>
    <row r="17" spans="1:22" x14ac:dyDescent="0.2">
      <c r="A17" s="7" t="s">
        <v>79</v>
      </c>
      <c r="B17" s="78">
        <v>36</v>
      </c>
      <c r="C17" s="78">
        <v>38</v>
      </c>
      <c r="D17" s="78">
        <v>41</v>
      </c>
      <c r="E17" s="78">
        <v>40</v>
      </c>
      <c r="F17" s="78">
        <v>36</v>
      </c>
      <c r="G17" s="78">
        <v>34</v>
      </c>
      <c r="H17" s="78">
        <v>35</v>
      </c>
      <c r="I17" s="78">
        <v>33</v>
      </c>
      <c r="J17" s="78">
        <v>34</v>
      </c>
      <c r="K17" s="78">
        <v>36</v>
      </c>
      <c r="L17" s="78">
        <v>37</v>
      </c>
      <c r="M17" s="78">
        <v>39</v>
      </c>
      <c r="N17" s="78">
        <v>44</v>
      </c>
      <c r="O17" s="78">
        <v>44</v>
      </c>
      <c r="P17" s="78">
        <v>41</v>
      </c>
      <c r="Q17" s="78">
        <v>43</v>
      </c>
      <c r="R17" s="78">
        <v>24</v>
      </c>
      <c r="S17" s="78">
        <v>43</v>
      </c>
      <c r="T17" s="78">
        <v>43</v>
      </c>
      <c r="U17" s="78">
        <v>49</v>
      </c>
      <c r="V17" s="78">
        <v>46</v>
      </c>
    </row>
    <row r="18" spans="1:22" x14ac:dyDescent="0.2">
      <c r="A18" s="7" t="s">
        <v>80</v>
      </c>
      <c r="B18" s="78">
        <v>33</v>
      </c>
      <c r="C18" s="78">
        <v>29</v>
      </c>
      <c r="D18" s="78">
        <v>31</v>
      </c>
      <c r="E18" s="78">
        <v>25</v>
      </c>
      <c r="F18" s="78">
        <v>26</v>
      </c>
      <c r="G18" s="78">
        <v>27</v>
      </c>
      <c r="H18" s="78">
        <v>27</v>
      </c>
      <c r="I18" s="78">
        <v>27</v>
      </c>
      <c r="J18" s="78">
        <v>26</v>
      </c>
      <c r="K18" s="78">
        <v>23</v>
      </c>
      <c r="L18" s="78">
        <v>25</v>
      </c>
      <c r="M18" s="78">
        <v>24</v>
      </c>
      <c r="N18" s="78">
        <v>24</v>
      </c>
      <c r="O18" s="78">
        <v>26</v>
      </c>
      <c r="P18" s="78">
        <v>28</v>
      </c>
      <c r="Q18" s="78">
        <v>26</v>
      </c>
      <c r="R18" s="78">
        <v>28</v>
      </c>
      <c r="S18" s="78">
        <v>28</v>
      </c>
      <c r="T18" s="78">
        <v>35</v>
      </c>
      <c r="U18" s="78">
        <v>34</v>
      </c>
      <c r="V18" s="78">
        <v>35</v>
      </c>
    </row>
    <row r="19" spans="1:22" x14ac:dyDescent="0.2">
      <c r="A19" s="7" t="s">
        <v>3</v>
      </c>
      <c r="B19" s="78">
        <v>16</v>
      </c>
      <c r="C19" s="78">
        <v>17</v>
      </c>
      <c r="D19" s="78">
        <v>14</v>
      </c>
      <c r="E19" s="78">
        <v>16</v>
      </c>
      <c r="F19" s="78">
        <v>17</v>
      </c>
      <c r="G19" s="78">
        <v>18</v>
      </c>
      <c r="H19" s="78">
        <v>15</v>
      </c>
      <c r="I19" s="78">
        <v>16</v>
      </c>
      <c r="J19" s="78">
        <v>18</v>
      </c>
      <c r="K19" s="78">
        <v>18</v>
      </c>
      <c r="L19" s="78">
        <v>15</v>
      </c>
      <c r="M19" s="78">
        <v>19</v>
      </c>
      <c r="N19" s="78">
        <v>20</v>
      </c>
      <c r="O19" s="78">
        <v>19</v>
      </c>
      <c r="P19" s="78">
        <v>23</v>
      </c>
      <c r="Q19" s="78">
        <v>23</v>
      </c>
      <c r="R19" s="78">
        <v>19</v>
      </c>
      <c r="S19" s="78">
        <v>23</v>
      </c>
      <c r="T19" s="78">
        <v>21</v>
      </c>
      <c r="U19" s="78">
        <v>27</v>
      </c>
      <c r="V19" s="78">
        <v>30</v>
      </c>
    </row>
    <row r="20" spans="1:22" x14ac:dyDescent="0.2">
      <c r="A20" s="7" t="s">
        <v>4</v>
      </c>
      <c r="B20" s="78">
        <v>38</v>
      </c>
      <c r="C20" s="78">
        <v>35</v>
      </c>
      <c r="D20" s="78">
        <v>33</v>
      </c>
      <c r="E20" s="78">
        <v>31</v>
      </c>
      <c r="F20" s="78">
        <v>33</v>
      </c>
      <c r="G20" s="78">
        <v>29</v>
      </c>
      <c r="H20" s="78">
        <v>26</v>
      </c>
      <c r="I20" s="78">
        <v>24</v>
      </c>
      <c r="J20" s="78">
        <v>23</v>
      </c>
      <c r="K20" s="78">
        <v>26</v>
      </c>
      <c r="L20" s="78">
        <v>31</v>
      </c>
      <c r="M20" s="78">
        <v>33</v>
      </c>
      <c r="N20" s="78">
        <v>39</v>
      </c>
      <c r="O20" s="78">
        <v>41</v>
      </c>
      <c r="P20" s="78">
        <v>39</v>
      </c>
      <c r="Q20" s="78">
        <v>38</v>
      </c>
      <c r="R20" s="78">
        <v>37</v>
      </c>
      <c r="S20" s="78">
        <v>43</v>
      </c>
      <c r="T20" s="78">
        <v>44</v>
      </c>
      <c r="U20" s="78">
        <v>44</v>
      </c>
      <c r="V20" s="78">
        <v>44</v>
      </c>
    </row>
    <row r="21" spans="1:22" s="48" customFormat="1" x14ac:dyDescent="0.2">
      <c r="A21" s="49" t="s">
        <v>0</v>
      </c>
      <c r="B21" s="70">
        <v>376</v>
      </c>
      <c r="C21" s="70">
        <v>360</v>
      </c>
      <c r="D21" s="70">
        <v>351</v>
      </c>
      <c r="E21" s="70">
        <v>373</v>
      </c>
      <c r="F21" s="70">
        <v>365</v>
      </c>
      <c r="G21" s="70">
        <v>347</v>
      </c>
      <c r="H21" s="70">
        <v>339</v>
      </c>
      <c r="I21" s="70">
        <v>342</v>
      </c>
      <c r="J21" s="70">
        <v>336</v>
      </c>
      <c r="K21" s="70">
        <v>338</v>
      </c>
      <c r="L21" s="70">
        <v>348</v>
      </c>
      <c r="M21" s="70">
        <v>350</v>
      </c>
      <c r="N21" s="70">
        <v>376</v>
      </c>
      <c r="O21" s="70">
        <v>385</v>
      </c>
      <c r="P21" s="70">
        <v>377</v>
      </c>
      <c r="Q21" s="70">
        <v>386</v>
      </c>
      <c r="R21" s="70">
        <v>359</v>
      </c>
      <c r="S21" s="70">
        <v>395</v>
      </c>
      <c r="T21" s="70">
        <v>413</v>
      </c>
      <c r="U21" s="70">
        <v>419</v>
      </c>
      <c r="V21" s="70">
        <v>440</v>
      </c>
    </row>
  </sheetData>
  <hyperlinks>
    <hyperlink ref="A2" location="Sommaire!A1" display="Retour au menu &quot;Exploitation des films&quot;" xr:uid="{00000000-0004-0000-1F00-000000000000}"/>
  </hyperlinks>
  <pageMargins left="0.78740157499999996" right="0.78740157499999996" top="0.984251969" bottom="0.984251969" header="0.4921259845" footer="0.492125984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21"/>
  <sheetViews>
    <sheetView workbookViewId="0"/>
  </sheetViews>
  <sheetFormatPr baseColWidth="10" defaultColWidth="5.5703125" defaultRowHeight="12" x14ac:dyDescent="0.2"/>
  <cols>
    <col min="1" max="1" width="29.85546875" style="46" customWidth="1"/>
    <col min="2" max="2" width="5.42578125" style="46" bestFit="1" customWidth="1"/>
    <col min="3" max="16" width="5.42578125" style="47" bestFit="1" customWidth="1"/>
    <col min="17" max="17" width="5.4257812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100</v>
      </c>
    </row>
    <row r="6" spans="1:22" ht="3" customHeight="1" x14ac:dyDescent="0.2"/>
    <row r="7" spans="1:22" s="48" customFormat="1" x14ac:dyDescent="0.2">
      <c r="A7" s="5"/>
      <c r="B7" s="6" t="s">
        <v>37</v>
      </c>
      <c r="C7" s="6" t="s">
        <v>38</v>
      </c>
      <c r="D7" s="6" t="s">
        <v>39</v>
      </c>
      <c r="E7" s="6" t="s">
        <v>40</v>
      </c>
      <c r="F7" s="6" t="s">
        <v>41</v>
      </c>
      <c r="G7" s="6" t="s">
        <v>42</v>
      </c>
      <c r="H7" s="6" t="s">
        <v>43</v>
      </c>
      <c r="I7" s="6" t="s">
        <v>44</v>
      </c>
      <c r="J7" s="6" t="s">
        <v>45</v>
      </c>
      <c r="K7" s="6" t="s">
        <v>54</v>
      </c>
      <c r="L7" s="6" t="s">
        <v>55</v>
      </c>
      <c r="M7" s="6" t="s">
        <v>76</v>
      </c>
      <c r="N7" s="6" t="s">
        <v>81</v>
      </c>
      <c r="O7" s="6" t="s">
        <v>82</v>
      </c>
      <c r="P7" s="6" t="s">
        <v>113</v>
      </c>
      <c r="Q7" s="6" t="s">
        <v>114</v>
      </c>
      <c r="R7" s="6" t="s">
        <v>115</v>
      </c>
      <c r="S7" s="6" t="s">
        <v>116</v>
      </c>
      <c r="T7" s="6" t="s">
        <v>117</v>
      </c>
      <c r="U7" s="6" t="s">
        <v>118</v>
      </c>
      <c r="V7" s="6" t="s">
        <v>119</v>
      </c>
    </row>
    <row r="8" spans="1:22" x14ac:dyDescent="0.2">
      <c r="A8" s="7" t="s">
        <v>72</v>
      </c>
      <c r="B8" s="8">
        <v>207</v>
      </c>
      <c r="C8" s="8">
        <v>219</v>
      </c>
      <c r="D8" s="8">
        <v>217</v>
      </c>
      <c r="E8" s="8">
        <v>260</v>
      </c>
      <c r="F8" s="8">
        <v>239</v>
      </c>
      <c r="G8" s="8">
        <v>220</v>
      </c>
      <c r="H8" s="8">
        <v>217</v>
      </c>
      <c r="I8" s="8">
        <v>218</v>
      </c>
      <c r="J8" s="8">
        <v>257</v>
      </c>
      <c r="K8" s="8">
        <v>211</v>
      </c>
      <c r="L8" s="8">
        <v>198</v>
      </c>
      <c r="M8" s="8">
        <v>192</v>
      </c>
      <c r="N8" s="8">
        <v>205</v>
      </c>
      <c r="O8" s="8">
        <v>214</v>
      </c>
      <c r="P8" s="8">
        <v>210</v>
      </c>
      <c r="Q8" s="8">
        <v>220</v>
      </c>
      <c r="R8" s="8">
        <v>310</v>
      </c>
      <c r="S8" s="8">
        <v>353</v>
      </c>
      <c r="T8" s="8">
        <v>291</v>
      </c>
      <c r="U8" s="8">
        <v>235</v>
      </c>
      <c r="V8" s="8">
        <v>272</v>
      </c>
    </row>
    <row r="9" spans="1:22" x14ac:dyDescent="0.2">
      <c r="A9" s="7" t="s">
        <v>73</v>
      </c>
      <c r="B9" s="8">
        <v>72</v>
      </c>
      <c r="C9" s="8">
        <v>80</v>
      </c>
      <c r="D9" s="8">
        <v>85</v>
      </c>
      <c r="E9" s="8">
        <v>130</v>
      </c>
      <c r="F9" s="8">
        <v>78</v>
      </c>
      <c r="G9" s="8">
        <v>61</v>
      </c>
      <c r="H9" s="8">
        <v>78</v>
      </c>
      <c r="I9" s="8">
        <v>77</v>
      </c>
      <c r="J9" s="8">
        <v>87</v>
      </c>
      <c r="K9" s="8">
        <v>107</v>
      </c>
      <c r="L9" s="8">
        <v>73</v>
      </c>
      <c r="M9" s="8">
        <v>80</v>
      </c>
      <c r="N9" s="8">
        <v>80</v>
      </c>
      <c r="O9" s="8">
        <v>90</v>
      </c>
      <c r="P9" s="8">
        <v>97</v>
      </c>
      <c r="Q9" s="8">
        <v>81</v>
      </c>
      <c r="R9" s="8">
        <v>129</v>
      </c>
      <c r="S9" s="8">
        <v>146</v>
      </c>
      <c r="T9" s="8">
        <v>160</v>
      </c>
      <c r="U9" s="8">
        <v>120</v>
      </c>
      <c r="V9" s="8">
        <v>131</v>
      </c>
    </row>
    <row r="10" spans="1:22" x14ac:dyDescent="0.2">
      <c r="A10" s="7" t="s">
        <v>1</v>
      </c>
      <c r="B10" s="8">
        <v>78</v>
      </c>
      <c r="C10" s="8">
        <v>86</v>
      </c>
      <c r="D10" s="8">
        <v>94</v>
      </c>
      <c r="E10" s="8">
        <v>85</v>
      </c>
      <c r="F10" s="8">
        <v>112</v>
      </c>
      <c r="G10" s="8">
        <v>106</v>
      </c>
      <c r="H10" s="8">
        <v>96</v>
      </c>
      <c r="I10" s="8">
        <v>96</v>
      </c>
      <c r="J10" s="8">
        <v>102</v>
      </c>
      <c r="K10" s="8">
        <v>110</v>
      </c>
      <c r="L10" s="8">
        <v>100</v>
      </c>
      <c r="M10" s="8">
        <v>95</v>
      </c>
      <c r="N10" s="8">
        <v>94</v>
      </c>
      <c r="O10" s="8">
        <v>97</v>
      </c>
      <c r="P10" s="8">
        <v>94</v>
      </c>
      <c r="Q10" s="8">
        <v>119</v>
      </c>
      <c r="R10" s="8">
        <v>135</v>
      </c>
      <c r="S10" s="8">
        <v>147</v>
      </c>
      <c r="T10" s="8">
        <v>164</v>
      </c>
      <c r="U10" s="8">
        <v>149</v>
      </c>
      <c r="V10" s="8">
        <v>129</v>
      </c>
    </row>
    <row r="11" spans="1:22" x14ac:dyDescent="0.2">
      <c r="A11" s="7" t="s">
        <v>74</v>
      </c>
      <c r="B11" s="8">
        <v>38</v>
      </c>
      <c r="C11" s="8">
        <v>55</v>
      </c>
      <c r="D11" s="8">
        <v>39</v>
      </c>
      <c r="E11" s="8">
        <v>65</v>
      </c>
      <c r="F11" s="8">
        <v>64</v>
      </c>
      <c r="G11" s="8">
        <v>66</v>
      </c>
      <c r="H11" s="8">
        <v>66</v>
      </c>
      <c r="I11" s="8">
        <v>59</v>
      </c>
      <c r="J11" s="8">
        <v>66</v>
      </c>
      <c r="K11" s="8">
        <v>78</v>
      </c>
      <c r="L11" s="8">
        <v>59</v>
      </c>
      <c r="M11" s="8">
        <v>53</v>
      </c>
      <c r="N11" s="8">
        <v>55</v>
      </c>
      <c r="O11" s="8">
        <v>52</v>
      </c>
      <c r="P11" s="8">
        <v>64</v>
      </c>
      <c r="Q11" s="8">
        <v>52</v>
      </c>
      <c r="R11" s="8">
        <v>111</v>
      </c>
      <c r="S11" s="8">
        <v>86</v>
      </c>
      <c r="T11" s="8">
        <v>77</v>
      </c>
      <c r="U11" s="8">
        <v>81</v>
      </c>
      <c r="V11" s="8">
        <v>87</v>
      </c>
    </row>
    <row r="12" spans="1:22" x14ac:dyDescent="0.2">
      <c r="A12" s="7" t="s">
        <v>5</v>
      </c>
      <c r="B12" s="8">
        <v>10</v>
      </c>
      <c r="C12" s="8">
        <v>6</v>
      </c>
      <c r="D12" s="8">
        <v>6</v>
      </c>
      <c r="E12" s="8">
        <v>6</v>
      </c>
      <c r="F12" s="8">
        <v>6</v>
      </c>
      <c r="G12" s="8">
        <v>6</v>
      </c>
      <c r="H12" s="8">
        <v>6</v>
      </c>
      <c r="I12" s="8">
        <v>6</v>
      </c>
      <c r="J12" s="8">
        <v>0</v>
      </c>
      <c r="K12" s="8">
        <v>0</v>
      </c>
      <c r="L12" s="8">
        <v>14</v>
      </c>
      <c r="M12" s="8">
        <v>11</v>
      </c>
      <c r="N12" s="8">
        <v>9</v>
      </c>
      <c r="O12" s="8">
        <v>9</v>
      </c>
      <c r="P12" s="8">
        <v>9</v>
      </c>
      <c r="Q12" s="8">
        <v>9</v>
      </c>
      <c r="R12" s="8">
        <v>6</v>
      </c>
      <c r="S12" s="8">
        <v>6</v>
      </c>
      <c r="T12" s="8">
        <v>13</v>
      </c>
      <c r="U12" s="8">
        <v>13</v>
      </c>
      <c r="V12" s="8">
        <v>13</v>
      </c>
    </row>
    <row r="13" spans="1:22" x14ac:dyDescent="0.2">
      <c r="A13" s="7" t="s">
        <v>77</v>
      </c>
      <c r="B13" s="8">
        <v>131</v>
      </c>
      <c r="C13" s="8">
        <v>132</v>
      </c>
      <c r="D13" s="8">
        <v>141</v>
      </c>
      <c r="E13" s="8">
        <v>126</v>
      </c>
      <c r="F13" s="8">
        <v>147</v>
      </c>
      <c r="G13" s="8">
        <v>148</v>
      </c>
      <c r="H13" s="8">
        <v>147</v>
      </c>
      <c r="I13" s="8">
        <v>145</v>
      </c>
      <c r="J13" s="8">
        <v>152</v>
      </c>
      <c r="K13" s="8">
        <v>150</v>
      </c>
      <c r="L13" s="8">
        <v>155</v>
      </c>
      <c r="M13" s="8">
        <v>178</v>
      </c>
      <c r="N13" s="8">
        <v>163</v>
      </c>
      <c r="O13" s="8">
        <v>179</v>
      </c>
      <c r="P13" s="8">
        <v>173</v>
      </c>
      <c r="Q13" s="8">
        <v>168</v>
      </c>
      <c r="R13" s="8">
        <v>247</v>
      </c>
      <c r="S13" s="8">
        <v>280</v>
      </c>
      <c r="T13" s="8">
        <v>261</v>
      </c>
      <c r="U13" s="8">
        <v>229</v>
      </c>
      <c r="V13" s="8">
        <v>279</v>
      </c>
    </row>
    <row r="14" spans="1:22" x14ac:dyDescent="0.2">
      <c r="A14" s="7" t="s">
        <v>78</v>
      </c>
      <c r="B14" s="8">
        <v>108</v>
      </c>
      <c r="C14" s="8">
        <v>130</v>
      </c>
      <c r="D14" s="8">
        <v>126</v>
      </c>
      <c r="E14" s="8">
        <v>157</v>
      </c>
      <c r="F14" s="8">
        <v>102</v>
      </c>
      <c r="G14" s="8">
        <v>114</v>
      </c>
      <c r="H14" s="8">
        <v>102</v>
      </c>
      <c r="I14" s="8">
        <v>107</v>
      </c>
      <c r="J14" s="8">
        <v>107</v>
      </c>
      <c r="K14" s="8">
        <v>140</v>
      </c>
      <c r="L14" s="8">
        <v>134</v>
      </c>
      <c r="M14" s="8">
        <v>129</v>
      </c>
      <c r="N14" s="8">
        <v>136</v>
      </c>
      <c r="O14" s="8">
        <v>140</v>
      </c>
      <c r="P14" s="8">
        <v>156</v>
      </c>
      <c r="Q14" s="8">
        <v>146</v>
      </c>
      <c r="R14" s="8">
        <v>232</v>
      </c>
      <c r="S14" s="8">
        <v>232</v>
      </c>
      <c r="T14" s="8">
        <v>272</v>
      </c>
      <c r="U14" s="8">
        <v>241</v>
      </c>
      <c r="V14" s="8">
        <v>279</v>
      </c>
    </row>
    <row r="15" spans="1:22" x14ac:dyDescent="0.2">
      <c r="A15" s="7" t="s">
        <v>2</v>
      </c>
      <c r="B15" s="8">
        <v>259</v>
      </c>
      <c r="C15" s="8">
        <v>302</v>
      </c>
      <c r="D15" s="8">
        <v>238</v>
      </c>
      <c r="E15" s="8">
        <v>271</v>
      </c>
      <c r="F15" s="8">
        <v>254</v>
      </c>
      <c r="G15" s="8">
        <v>241</v>
      </c>
      <c r="H15" s="8">
        <v>245</v>
      </c>
      <c r="I15" s="8">
        <v>270</v>
      </c>
      <c r="J15" s="8">
        <v>235</v>
      </c>
      <c r="K15" s="8">
        <v>273</v>
      </c>
      <c r="L15" s="8">
        <v>283</v>
      </c>
      <c r="M15" s="8">
        <v>288</v>
      </c>
      <c r="N15" s="8">
        <v>311</v>
      </c>
      <c r="O15" s="8">
        <v>322</v>
      </c>
      <c r="P15" s="8">
        <v>340</v>
      </c>
      <c r="Q15" s="8">
        <v>338</v>
      </c>
      <c r="R15" s="8">
        <v>631</v>
      </c>
      <c r="S15" s="8">
        <v>587</v>
      </c>
      <c r="T15" s="8">
        <v>431</v>
      </c>
      <c r="U15" s="8">
        <v>382</v>
      </c>
      <c r="V15" s="8">
        <v>405</v>
      </c>
    </row>
    <row r="16" spans="1:22" x14ac:dyDescent="0.2">
      <c r="A16" s="7" t="s">
        <v>75</v>
      </c>
      <c r="B16" s="8">
        <v>92</v>
      </c>
      <c r="C16" s="8">
        <v>80</v>
      </c>
      <c r="D16" s="8">
        <v>103</v>
      </c>
      <c r="E16" s="8">
        <v>96</v>
      </c>
      <c r="F16" s="8">
        <v>96</v>
      </c>
      <c r="G16" s="8">
        <v>107</v>
      </c>
      <c r="H16" s="8">
        <v>83</v>
      </c>
      <c r="I16" s="8">
        <v>98</v>
      </c>
      <c r="J16" s="8">
        <v>90</v>
      </c>
      <c r="K16" s="8">
        <v>80</v>
      </c>
      <c r="L16" s="8">
        <v>89</v>
      </c>
      <c r="M16" s="8">
        <v>87</v>
      </c>
      <c r="N16" s="8">
        <v>112</v>
      </c>
      <c r="O16" s="8">
        <v>114</v>
      </c>
      <c r="P16" s="8">
        <v>116</v>
      </c>
      <c r="Q16" s="8">
        <v>126</v>
      </c>
      <c r="R16" s="8">
        <v>132</v>
      </c>
      <c r="S16" s="8">
        <v>116</v>
      </c>
      <c r="T16" s="8">
        <v>137</v>
      </c>
      <c r="U16" s="8">
        <v>118</v>
      </c>
      <c r="V16" s="8">
        <v>126</v>
      </c>
    </row>
    <row r="17" spans="1:22" x14ac:dyDescent="0.2">
      <c r="A17" s="7" t="s">
        <v>79</v>
      </c>
      <c r="B17" s="8">
        <v>171</v>
      </c>
      <c r="C17" s="8">
        <v>185</v>
      </c>
      <c r="D17" s="8">
        <v>208</v>
      </c>
      <c r="E17" s="8">
        <v>214</v>
      </c>
      <c r="F17" s="8">
        <v>209</v>
      </c>
      <c r="G17" s="8">
        <v>171</v>
      </c>
      <c r="H17" s="8">
        <v>176</v>
      </c>
      <c r="I17" s="8">
        <v>179</v>
      </c>
      <c r="J17" s="8">
        <v>192</v>
      </c>
      <c r="K17" s="8">
        <v>217</v>
      </c>
      <c r="L17" s="8">
        <v>221</v>
      </c>
      <c r="M17" s="8">
        <v>232</v>
      </c>
      <c r="N17" s="8">
        <v>273</v>
      </c>
      <c r="O17" s="8">
        <v>280</v>
      </c>
      <c r="P17" s="8">
        <v>287</v>
      </c>
      <c r="Q17" s="8">
        <v>291</v>
      </c>
      <c r="R17" s="8">
        <v>200</v>
      </c>
      <c r="S17" s="8">
        <v>339</v>
      </c>
      <c r="T17" s="8">
        <v>308</v>
      </c>
      <c r="U17" s="8">
        <v>332</v>
      </c>
      <c r="V17" s="8">
        <v>314</v>
      </c>
    </row>
    <row r="18" spans="1:22" x14ac:dyDescent="0.2">
      <c r="A18" s="7" t="s">
        <v>80</v>
      </c>
      <c r="B18" s="8">
        <v>144</v>
      </c>
      <c r="C18" s="8">
        <v>129</v>
      </c>
      <c r="D18" s="8">
        <v>127</v>
      </c>
      <c r="E18" s="8">
        <v>122</v>
      </c>
      <c r="F18" s="8">
        <v>120</v>
      </c>
      <c r="G18" s="8">
        <v>126</v>
      </c>
      <c r="H18" s="8">
        <v>132</v>
      </c>
      <c r="I18" s="8">
        <v>139</v>
      </c>
      <c r="J18" s="8">
        <v>145</v>
      </c>
      <c r="K18" s="8">
        <v>146</v>
      </c>
      <c r="L18" s="8">
        <v>151</v>
      </c>
      <c r="M18" s="8">
        <v>150</v>
      </c>
      <c r="N18" s="8">
        <v>153</v>
      </c>
      <c r="O18" s="8">
        <v>175</v>
      </c>
      <c r="P18" s="8">
        <v>197</v>
      </c>
      <c r="Q18" s="8">
        <v>185</v>
      </c>
      <c r="R18" s="8">
        <v>215</v>
      </c>
      <c r="S18" s="8">
        <v>218</v>
      </c>
      <c r="T18" s="8">
        <v>215</v>
      </c>
      <c r="U18" s="8">
        <v>231</v>
      </c>
      <c r="V18" s="8">
        <v>235</v>
      </c>
    </row>
    <row r="19" spans="1:22" x14ac:dyDescent="0.2">
      <c r="A19" s="7" t="s">
        <v>3</v>
      </c>
      <c r="B19" s="8">
        <v>76</v>
      </c>
      <c r="C19" s="8">
        <v>85</v>
      </c>
      <c r="D19" s="8">
        <v>66</v>
      </c>
      <c r="E19" s="8">
        <v>95</v>
      </c>
      <c r="F19" s="8">
        <v>91</v>
      </c>
      <c r="G19" s="8">
        <v>101</v>
      </c>
      <c r="H19" s="8">
        <v>85</v>
      </c>
      <c r="I19" s="8">
        <v>82</v>
      </c>
      <c r="J19" s="8">
        <v>100</v>
      </c>
      <c r="K19" s="8">
        <v>107</v>
      </c>
      <c r="L19" s="8">
        <v>78</v>
      </c>
      <c r="M19" s="8">
        <v>93</v>
      </c>
      <c r="N19" s="8">
        <v>106</v>
      </c>
      <c r="O19" s="8">
        <v>100</v>
      </c>
      <c r="P19" s="8">
        <v>123</v>
      </c>
      <c r="Q19" s="8">
        <v>127</v>
      </c>
      <c r="R19" s="8">
        <v>163</v>
      </c>
      <c r="S19" s="8">
        <v>153</v>
      </c>
      <c r="T19" s="8">
        <v>145</v>
      </c>
      <c r="U19" s="8">
        <v>159</v>
      </c>
      <c r="V19" s="8">
        <v>157</v>
      </c>
    </row>
    <row r="20" spans="1:22" x14ac:dyDescent="0.2">
      <c r="A20" s="7" t="s">
        <v>4</v>
      </c>
      <c r="B20" s="8">
        <v>121</v>
      </c>
      <c r="C20" s="8">
        <v>115</v>
      </c>
      <c r="D20" s="8">
        <v>115</v>
      </c>
      <c r="E20" s="8">
        <v>107</v>
      </c>
      <c r="F20" s="8">
        <v>113</v>
      </c>
      <c r="G20" s="8">
        <v>111</v>
      </c>
      <c r="H20" s="8">
        <v>102</v>
      </c>
      <c r="I20" s="8">
        <v>97</v>
      </c>
      <c r="J20" s="8">
        <v>93</v>
      </c>
      <c r="K20" s="8">
        <v>98</v>
      </c>
      <c r="L20" s="8">
        <v>114</v>
      </c>
      <c r="M20" s="8">
        <v>135</v>
      </c>
      <c r="N20" s="8">
        <v>155</v>
      </c>
      <c r="O20" s="8">
        <v>151</v>
      </c>
      <c r="P20" s="8">
        <v>148</v>
      </c>
      <c r="Q20" s="8">
        <v>151</v>
      </c>
      <c r="R20" s="8">
        <v>196</v>
      </c>
      <c r="S20" s="8">
        <v>211</v>
      </c>
      <c r="T20" s="8">
        <v>183</v>
      </c>
      <c r="U20" s="8">
        <v>178</v>
      </c>
      <c r="V20" s="8">
        <v>181</v>
      </c>
    </row>
    <row r="21" spans="1:22" s="48" customFormat="1" x14ac:dyDescent="0.2">
      <c r="A21" s="49" t="s">
        <v>0</v>
      </c>
      <c r="B21" s="70">
        <v>1507</v>
      </c>
      <c r="C21" s="70">
        <v>1604</v>
      </c>
      <c r="D21" s="70">
        <v>1565</v>
      </c>
      <c r="E21" s="70">
        <v>1734</v>
      </c>
      <c r="F21" s="70">
        <v>1631</v>
      </c>
      <c r="G21" s="70">
        <v>1578</v>
      </c>
      <c r="H21" s="70">
        <v>1535</v>
      </c>
      <c r="I21" s="70">
        <v>1573</v>
      </c>
      <c r="J21" s="70">
        <v>1626</v>
      </c>
      <c r="K21" s="70">
        <v>1717</v>
      </c>
      <c r="L21" s="70">
        <v>1669</v>
      </c>
      <c r="M21" s="70">
        <v>1723</v>
      </c>
      <c r="N21" s="70">
        <v>1852</v>
      </c>
      <c r="O21" s="70">
        <v>1923</v>
      </c>
      <c r="P21" s="70">
        <v>2014</v>
      </c>
      <c r="Q21" s="70">
        <v>2013</v>
      </c>
      <c r="R21" s="70">
        <v>2707</v>
      </c>
      <c r="S21" s="70">
        <v>2874</v>
      </c>
      <c r="T21" s="70">
        <v>2657</v>
      </c>
      <c r="U21" s="70">
        <v>2468</v>
      </c>
      <c r="V21" s="70">
        <v>2608</v>
      </c>
    </row>
  </sheetData>
  <phoneticPr fontId="21" type="noConversion"/>
  <hyperlinks>
    <hyperlink ref="A2" location="Sommaire!A1" display="Retour au menu &quot;Exploitation des films&quot;" xr:uid="{00000000-0004-0000-2000-000000000000}"/>
  </hyperlinks>
  <pageMargins left="0.78740157499999996" right="0.78740157499999996" top="0.984251969" bottom="0.984251969" header="0.4921259845" footer="0.492125984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21"/>
  <sheetViews>
    <sheetView workbookViewId="0"/>
  </sheetViews>
  <sheetFormatPr baseColWidth="10" defaultColWidth="5.5703125" defaultRowHeight="12" x14ac:dyDescent="0.2"/>
  <cols>
    <col min="1" max="1" width="29.85546875" style="46" customWidth="1"/>
    <col min="2" max="2" width="7.42578125" style="46" bestFit="1" customWidth="1"/>
    <col min="3" max="16" width="7.42578125" style="47" bestFit="1" customWidth="1"/>
    <col min="17" max="22" width="7.42578125" style="46" bestFit="1"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99</v>
      </c>
    </row>
    <row r="6" spans="1:22" ht="3" customHeight="1" x14ac:dyDescent="0.2"/>
    <row r="7" spans="1:22" s="48" customFormat="1" x14ac:dyDescent="0.2">
      <c r="A7" s="20"/>
      <c r="B7" s="21" t="s">
        <v>37</v>
      </c>
      <c r="C7" s="21" t="s">
        <v>38</v>
      </c>
      <c r="D7" s="21" t="s">
        <v>39</v>
      </c>
      <c r="E7" s="21" t="s">
        <v>40</v>
      </c>
      <c r="F7" s="21" t="s">
        <v>41</v>
      </c>
      <c r="G7" s="21" t="s">
        <v>42</v>
      </c>
      <c r="H7" s="21" t="s">
        <v>43</v>
      </c>
      <c r="I7" s="21" t="s">
        <v>44</v>
      </c>
      <c r="J7" s="21" t="s">
        <v>45</v>
      </c>
      <c r="K7" s="21" t="s">
        <v>54</v>
      </c>
      <c r="L7" s="21" t="s">
        <v>55</v>
      </c>
      <c r="M7" s="21" t="s">
        <v>76</v>
      </c>
      <c r="N7" s="21" t="s">
        <v>81</v>
      </c>
      <c r="O7" s="21" t="s">
        <v>82</v>
      </c>
      <c r="P7" s="21" t="s">
        <v>113</v>
      </c>
      <c r="Q7" s="21" t="s">
        <v>114</v>
      </c>
      <c r="R7" s="21" t="s">
        <v>115</v>
      </c>
      <c r="S7" s="21" t="s">
        <v>116</v>
      </c>
      <c r="T7" s="21" t="s">
        <v>117</v>
      </c>
      <c r="U7" s="21" t="s">
        <v>118</v>
      </c>
      <c r="V7" s="21" t="s">
        <v>119</v>
      </c>
    </row>
    <row r="8" spans="1:22" x14ac:dyDescent="0.2">
      <c r="A8" s="7" t="s">
        <v>72</v>
      </c>
      <c r="B8" s="23">
        <v>33642</v>
      </c>
      <c r="C8" s="23">
        <v>33966</v>
      </c>
      <c r="D8" s="23">
        <v>36094</v>
      </c>
      <c r="E8" s="23">
        <v>43376</v>
      </c>
      <c r="F8" s="23">
        <v>39528</v>
      </c>
      <c r="G8" s="23">
        <v>37030</v>
      </c>
      <c r="H8" s="23">
        <v>35425</v>
      </c>
      <c r="I8" s="23">
        <v>35907</v>
      </c>
      <c r="J8" s="23">
        <v>42004</v>
      </c>
      <c r="K8" s="23">
        <v>35061</v>
      </c>
      <c r="L8" s="23">
        <v>33591</v>
      </c>
      <c r="M8" s="23">
        <v>31860</v>
      </c>
      <c r="N8" s="23">
        <v>33314</v>
      </c>
      <c r="O8" s="23">
        <v>35393</v>
      </c>
      <c r="P8" s="23">
        <v>33918</v>
      </c>
      <c r="Q8" s="23">
        <v>35799</v>
      </c>
      <c r="R8" s="23">
        <v>57060</v>
      </c>
      <c r="S8" s="23">
        <v>61652</v>
      </c>
      <c r="T8" s="23">
        <v>48216</v>
      </c>
      <c r="U8" s="23">
        <v>37855</v>
      </c>
      <c r="V8" s="23">
        <v>43893</v>
      </c>
    </row>
    <row r="9" spans="1:22" x14ac:dyDescent="0.2">
      <c r="A9" s="7" t="s">
        <v>73</v>
      </c>
      <c r="B9" s="23">
        <v>13426</v>
      </c>
      <c r="C9" s="23">
        <v>14688</v>
      </c>
      <c r="D9" s="23">
        <v>14598</v>
      </c>
      <c r="E9" s="23">
        <v>22193</v>
      </c>
      <c r="F9" s="23">
        <v>14256</v>
      </c>
      <c r="G9" s="23">
        <v>10428</v>
      </c>
      <c r="H9" s="23">
        <v>13775</v>
      </c>
      <c r="I9" s="23">
        <v>12853</v>
      </c>
      <c r="J9" s="23">
        <v>15187</v>
      </c>
      <c r="K9" s="23">
        <v>18299</v>
      </c>
      <c r="L9" s="23">
        <v>12380</v>
      </c>
      <c r="M9" s="23">
        <v>13679</v>
      </c>
      <c r="N9" s="23">
        <v>13569</v>
      </c>
      <c r="O9" s="23">
        <v>15559</v>
      </c>
      <c r="P9" s="23">
        <v>16510</v>
      </c>
      <c r="Q9" s="23">
        <v>14151</v>
      </c>
      <c r="R9" s="23">
        <v>23362</v>
      </c>
      <c r="S9" s="23">
        <v>25966</v>
      </c>
      <c r="T9" s="23">
        <v>27557</v>
      </c>
      <c r="U9" s="23">
        <v>21609</v>
      </c>
      <c r="V9" s="23">
        <v>23613</v>
      </c>
    </row>
    <row r="10" spans="1:22" x14ac:dyDescent="0.2">
      <c r="A10" s="7" t="s">
        <v>1</v>
      </c>
      <c r="B10" s="23">
        <v>14710</v>
      </c>
      <c r="C10" s="23">
        <v>15491</v>
      </c>
      <c r="D10" s="23">
        <v>17182</v>
      </c>
      <c r="E10" s="23">
        <v>15288</v>
      </c>
      <c r="F10" s="23">
        <v>20099</v>
      </c>
      <c r="G10" s="23">
        <v>18771</v>
      </c>
      <c r="H10" s="23">
        <v>16804</v>
      </c>
      <c r="I10" s="23">
        <v>16708</v>
      </c>
      <c r="J10" s="23">
        <v>17932</v>
      </c>
      <c r="K10" s="23">
        <v>19426</v>
      </c>
      <c r="L10" s="23">
        <v>17606</v>
      </c>
      <c r="M10" s="23">
        <v>16554</v>
      </c>
      <c r="N10" s="23">
        <v>16339</v>
      </c>
      <c r="O10" s="23">
        <v>16926</v>
      </c>
      <c r="P10" s="23">
        <v>15857</v>
      </c>
      <c r="Q10" s="23">
        <v>20741</v>
      </c>
      <c r="R10" s="23">
        <v>25098</v>
      </c>
      <c r="S10" s="23">
        <v>26166</v>
      </c>
      <c r="T10" s="23">
        <v>28309</v>
      </c>
      <c r="U10" s="23">
        <v>24154</v>
      </c>
      <c r="V10" s="23">
        <v>21943</v>
      </c>
    </row>
    <row r="11" spans="1:22" x14ac:dyDescent="0.2">
      <c r="A11" s="7" t="s">
        <v>74</v>
      </c>
      <c r="B11" s="23">
        <v>6585</v>
      </c>
      <c r="C11" s="23">
        <v>10546</v>
      </c>
      <c r="D11" s="23">
        <v>6934</v>
      </c>
      <c r="E11" s="23">
        <v>12258</v>
      </c>
      <c r="F11" s="23">
        <v>11869</v>
      </c>
      <c r="G11" s="23">
        <v>11864</v>
      </c>
      <c r="H11" s="23">
        <v>11864</v>
      </c>
      <c r="I11" s="23">
        <v>10465</v>
      </c>
      <c r="J11" s="23">
        <v>11864</v>
      </c>
      <c r="K11" s="23">
        <v>14484</v>
      </c>
      <c r="L11" s="23">
        <v>10465</v>
      </c>
      <c r="M11" s="23">
        <v>9129</v>
      </c>
      <c r="N11" s="23">
        <v>9323</v>
      </c>
      <c r="O11" s="23">
        <v>8885</v>
      </c>
      <c r="P11" s="23">
        <v>11713</v>
      </c>
      <c r="Q11" s="23">
        <v>9093</v>
      </c>
      <c r="R11" s="23">
        <v>21814</v>
      </c>
      <c r="S11" s="23">
        <v>16066</v>
      </c>
      <c r="T11" s="23">
        <v>13570</v>
      </c>
      <c r="U11" s="23">
        <v>14087</v>
      </c>
      <c r="V11" s="23">
        <v>14925</v>
      </c>
    </row>
    <row r="12" spans="1:22" x14ac:dyDescent="0.2">
      <c r="A12" s="7" t="s">
        <v>5</v>
      </c>
      <c r="B12" s="23">
        <v>3551</v>
      </c>
      <c r="C12" s="23">
        <v>1088</v>
      </c>
      <c r="D12" s="23">
        <v>1088</v>
      </c>
      <c r="E12" s="23">
        <v>1088</v>
      </c>
      <c r="F12" s="23">
        <v>1088</v>
      </c>
      <c r="G12" s="23">
        <v>1088</v>
      </c>
      <c r="H12" s="23">
        <v>1088</v>
      </c>
      <c r="I12" s="23">
        <v>1088</v>
      </c>
      <c r="J12" s="23">
        <v>0</v>
      </c>
      <c r="K12" s="23">
        <v>0</v>
      </c>
      <c r="L12" s="23">
        <v>4497</v>
      </c>
      <c r="M12" s="23">
        <v>1790</v>
      </c>
      <c r="N12" s="23">
        <v>1446</v>
      </c>
      <c r="O12" s="23">
        <v>1446</v>
      </c>
      <c r="P12" s="23">
        <v>1446</v>
      </c>
      <c r="Q12" s="23">
        <v>1446</v>
      </c>
      <c r="R12" s="23">
        <v>1147</v>
      </c>
      <c r="S12" s="23">
        <v>1147</v>
      </c>
      <c r="T12" s="23">
        <v>2065</v>
      </c>
      <c r="U12" s="23">
        <v>2065</v>
      </c>
      <c r="V12" s="23">
        <v>2065</v>
      </c>
    </row>
    <row r="13" spans="1:22" x14ac:dyDescent="0.2">
      <c r="A13" s="7" t="s">
        <v>77</v>
      </c>
      <c r="B13" s="23">
        <v>25018</v>
      </c>
      <c r="C13" s="23">
        <v>25275</v>
      </c>
      <c r="D13" s="23">
        <v>27238</v>
      </c>
      <c r="E13" s="23">
        <v>24225</v>
      </c>
      <c r="F13" s="23">
        <v>27844</v>
      </c>
      <c r="G13" s="23">
        <v>27566</v>
      </c>
      <c r="H13" s="23">
        <v>27501</v>
      </c>
      <c r="I13" s="23">
        <v>26504</v>
      </c>
      <c r="J13" s="23">
        <v>27577</v>
      </c>
      <c r="K13" s="23">
        <v>27403</v>
      </c>
      <c r="L13" s="23">
        <v>28023</v>
      </c>
      <c r="M13" s="23">
        <v>32609</v>
      </c>
      <c r="N13" s="23">
        <v>29776</v>
      </c>
      <c r="O13" s="23">
        <v>32061</v>
      </c>
      <c r="P13" s="23">
        <v>31194</v>
      </c>
      <c r="Q13" s="23">
        <v>28509</v>
      </c>
      <c r="R13" s="23">
        <v>51092</v>
      </c>
      <c r="S13" s="23">
        <v>54995</v>
      </c>
      <c r="T13" s="23">
        <v>48262</v>
      </c>
      <c r="U13" s="23">
        <v>40232</v>
      </c>
      <c r="V13" s="23">
        <v>52027</v>
      </c>
    </row>
    <row r="14" spans="1:22" x14ac:dyDescent="0.2">
      <c r="A14" s="7" t="s">
        <v>78</v>
      </c>
      <c r="B14" s="23">
        <v>19125</v>
      </c>
      <c r="C14" s="23">
        <v>23538</v>
      </c>
      <c r="D14" s="23">
        <v>22188</v>
      </c>
      <c r="E14" s="23">
        <v>27858</v>
      </c>
      <c r="F14" s="23">
        <v>16591</v>
      </c>
      <c r="G14" s="23">
        <v>19426</v>
      </c>
      <c r="H14" s="23">
        <v>16591</v>
      </c>
      <c r="I14" s="23">
        <v>17229</v>
      </c>
      <c r="J14" s="23">
        <v>17229</v>
      </c>
      <c r="K14" s="23">
        <v>24182</v>
      </c>
      <c r="L14" s="23">
        <v>21875</v>
      </c>
      <c r="M14" s="23">
        <v>20529</v>
      </c>
      <c r="N14" s="23">
        <v>21924</v>
      </c>
      <c r="O14" s="23">
        <v>22325</v>
      </c>
      <c r="P14" s="23">
        <v>24491</v>
      </c>
      <c r="Q14" s="23">
        <v>22896</v>
      </c>
      <c r="R14" s="23">
        <v>45664</v>
      </c>
      <c r="S14" s="23">
        <v>44994</v>
      </c>
      <c r="T14" s="23">
        <v>48573</v>
      </c>
      <c r="U14" s="23">
        <v>40099</v>
      </c>
      <c r="V14" s="23">
        <v>47494</v>
      </c>
    </row>
    <row r="15" spans="1:22" x14ac:dyDescent="0.2">
      <c r="A15" s="7" t="s">
        <v>2</v>
      </c>
      <c r="B15" s="23">
        <v>45668</v>
      </c>
      <c r="C15" s="23">
        <v>51800</v>
      </c>
      <c r="D15" s="23">
        <v>40111</v>
      </c>
      <c r="E15" s="23">
        <v>44620</v>
      </c>
      <c r="F15" s="23">
        <v>41571</v>
      </c>
      <c r="G15" s="23">
        <v>38818</v>
      </c>
      <c r="H15" s="23">
        <v>39826</v>
      </c>
      <c r="I15" s="23">
        <v>43959</v>
      </c>
      <c r="J15" s="23">
        <v>37582</v>
      </c>
      <c r="K15" s="23">
        <v>45583</v>
      </c>
      <c r="L15" s="23">
        <v>45533</v>
      </c>
      <c r="M15" s="23">
        <v>46449</v>
      </c>
      <c r="N15" s="23">
        <v>49233</v>
      </c>
      <c r="O15" s="23">
        <v>51896</v>
      </c>
      <c r="P15" s="23">
        <v>57031</v>
      </c>
      <c r="Q15" s="23">
        <v>54784</v>
      </c>
      <c r="R15" s="23">
        <v>123769</v>
      </c>
      <c r="S15" s="23">
        <v>107462</v>
      </c>
      <c r="T15" s="23">
        <v>74413</v>
      </c>
      <c r="U15" s="23">
        <v>64103</v>
      </c>
      <c r="V15" s="23">
        <v>68925</v>
      </c>
    </row>
    <row r="16" spans="1:22" x14ac:dyDescent="0.2">
      <c r="A16" s="7" t="s">
        <v>75</v>
      </c>
      <c r="B16" s="23">
        <v>18060</v>
      </c>
      <c r="C16" s="23">
        <v>15539</v>
      </c>
      <c r="D16" s="23">
        <v>19835</v>
      </c>
      <c r="E16" s="23">
        <v>18369</v>
      </c>
      <c r="F16" s="23">
        <v>18369</v>
      </c>
      <c r="G16" s="23">
        <v>20434</v>
      </c>
      <c r="H16" s="23">
        <v>15731</v>
      </c>
      <c r="I16" s="23">
        <v>18287</v>
      </c>
      <c r="J16" s="23">
        <v>17550</v>
      </c>
      <c r="K16" s="23">
        <v>15198</v>
      </c>
      <c r="L16" s="23">
        <v>16534</v>
      </c>
      <c r="M16" s="23">
        <v>16081</v>
      </c>
      <c r="N16" s="23">
        <v>20818</v>
      </c>
      <c r="O16" s="23">
        <v>21251</v>
      </c>
      <c r="P16" s="23">
        <v>21450</v>
      </c>
      <c r="Q16" s="23">
        <v>22815</v>
      </c>
      <c r="R16" s="23">
        <v>26789</v>
      </c>
      <c r="S16" s="23">
        <v>21967</v>
      </c>
      <c r="T16" s="23">
        <v>24513</v>
      </c>
      <c r="U16" s="23">
        <v>20978</v>
      </c>
      <c r="V16" s="23">
        <v>22219</v>
      </c>
    </row>
    <row r="17" spans="1:22" x14ac:dyDescent="0.2">
      <c r="A17" s="7" t="s">
        <v>79</v>
      </c>
      <c r="B17" s="23">
        <v>30485</v>
      </c>
      <c r="C17" s="23">
        <v>32398</v>
      </c>
      <c r="D17" s="23">
        <v>36073</v>
      </c>
      <c r="E17" s="23">
        <v>36842</v>
      </c>
      <c r="F17" s="23">
        <v>36418</v>
      </c>
      <c r="G17" s="23">
        <v>29514</v>
      </c>
      <c r="H17" s="23">
        <v>30523</v>
      </c>
      <c r="I17" s="23">
        <v>31337</v>
      </c>
      <c r="J17" s="23">
        <v>33203</v>
      </c>
      <c r="K17" s="23">
        <v>35645</v>
      </c>
      <c r="L17" s="23">
        <v>36580</v>
      </c>
      <c r="M17" s="23">
        <v>38242</v>
      </c>
      <c r="N17" s="23">
        <v>46035</v>
      </c>
      <c r="O17" s="23">
        <v>46322</v>
      </c>
      <c r="P17" s="23">
        <v>47921</v>
      </c>
      <c r="Q17" s="23">
        <v>47942</v>
      </c>
      <c r="R17" s="23">
        <v>36318</v>
      </c>
      <c r="S17" s="23">
        <v>59217</v>
      </c>
      <c r="T17" s="23">
        <v>50998</v>
      </c>
      <c r="U17" s="23">
        <v>55052</v>
      </c>
      <c r="V17" s="23">
        <v>51627</v>
      </c>
    </row>
    <row r="18" spans="1:22" x14ac:dyDescent="0.2">
      <c r="A18" s="7" t="s">
        <v>80</v>
      </c>
      <c r="B18" s="23">
        <v>22638</v>
      </c>
      <c r="C18" s="23">
        <v>19511</v>
      </c>
      <c r="D18" s="23">
        <v>18998</v>
      </c>
      <c r="E18" s="23">
        <v>18832</v>
      </c>
      <c r="F18" s="23">
        <v>18903</v>
      </c>
      <c r="G18" s="23">
        <v>19821</v>
      </c>
      <c r="H18" s="23">
        <v>20651</v>
      </c>
      <c r="I18" s="23">
        <v>22235</v>
      </c>
      <c r="J18" s="23">
        <v>23282</v>
      </c>
      <c r="K18" s="23">
        <v>23719</v>
      </c>
      <c r="L18" s="23">
        <v>24263</v>
      </c>
      <c r="M18" s="23">
        <v>24131</v>
      </c>
      <c r="N18" s="23">
        <v>24422</v>
      </c>
      <c r="O18" s="23">
        <v>28277</v>
      </c>
      <c r="P18" s="23">
        <v>31928</v>
      </c>
      <c r="Q18" s="23">
        <v>30357</v>
      </c>
      <c r="R18" s="23">
        <v>37642</v>
      </c>
      <c r="S18" s="23">
        <v>36815</v>
      </c>
      <c r="T18" s="23">
        <v>34593</v>
      </c>
      <c r="U18" s="23">
        <v>36375</v>
      </c>
      <c r="V18" s="23">
        <v>36952</v>
      </c>
    </row>
    <row r="19" spans="1:22" x14ac:dyDescent="0.2">
      <c r="A19" s="7" t="s">
        <v>3</v>
      </c>
      <c r="B19" s="23">
        <v>12682</v>
      </c>
      <c r="C19" s="23">
        <v>14533</v>
      </c>
      <c r="D19" s="23">
        <v>10376</v>
      </c>
      <c r="E19" s="23">
        <v>16390</v>
      </c>
      <c r="F19" s="23">
        <v>15298</v>
      </c>
      <c r="G19" s="23">
        <v>16862</v>
      </c>
      <c r="H19" s="23">
        <v>13443</v>
      </c>
      <c r="I19" s="23">
        <v>12564</v>
      </c>
      <c r="J19" s="23">
        <v>16264</v>
      </c>
      <c r="K19" s="23">
        <v>18180</v>
      </c>
      <c r="L19" s="23">
        <v>12725</v>
      </c>
      <c r="M19" s="23">
        <v>14435</v>
      </c>
      <c r="N19" s="23">
        <v>17540</v>
      </c>
      <c r="O19" s="23">
        <v>15909</v>
      </c>
      <c r="P19" s="23">
        <v>20678</v>
      </c>
      <c r="Q19" s="23">
        <v>21194</v>
      </c>
      <c r="R19" s="23">
        <v>29905</v>
      </c>
      <c r="S19" s="23">
        <v>26642</v>
      </c>
      <c r="T19" s="23">
        <v>25835</v>
      </c>
      <c r="U19" s="23">
        <v>27092</v>
      </c>
      <c r="V19" s="23">
        <v>25471</v>
      </c>
    </row>
    <row r="20" spans="1:22" x14ac:dyDescent="0.2">
      <c r="A20" s="7" t="s">
        <v>4</v>
      </c>
      <c r="B20" s="23">
        <v>21131</v>
      </c>
      <c r="C20" s="23">
        <v>19089</v>
      </c>
      <c r="D20" s="23">
        <v>18842</v>
      </c>
      <c r="E20" s="23">
        <v>17560</v>
      </c>
      <c r="F20" s="23">
        <v>18137</v>
      </c>
      <c r="G20" s="23">
        <v>17784</v>
      </c>
      <c r="H20" s="23">
        <v>16246</v>
      </c>
      <c r="I20" s="23">
        <v>15470</v>
      </c>
      <c r="J20" s="23">
        <v>14924</v>
      </c>
      <c r="K20" s="23">
        <v>15989</v>
      </c>
      <c r="L20" s="23">
        <v>17700</v>
      </c>
      <c r="M20" s="23">
        <v>21745</v>
      </c>
      <c r="N20" s="23">
        <v>25920</v>
      </c>
      <c r="O20" s="23">
        <v>23752</v>
      </c>
      <c r="P20" s="23">
        <v>23477</v>
      </c>
      <c r="Q20" s="23">
        <v>23511</v>
      </c>
      <c r="R20" s="23">
        <v>34636</v>
      </c>
      <c r="S20" s="23">
        <v>35522</v>
      </c>
      <c r="T20" s="23">
        <v>30024</v>
      </c>
      <c r="U20" s="23">
        <v>28613</v>
      </c>
      <c r="V20" s="23">
        <v>28755</v>
      </c>
    </row>
    <row r="21" spans="1:22" s="48" customFormat="1" x14ac:dyDescent="0.2">
      <c r="A21" s="49" t="s">
        <v>0</v>
      </c>
      <c r="B21" s="70">
        <v>266721</v>
      </c>
      <c r="C21" s="70">
        <v>277462</v>
      </c>
      <c r="D21" s="70">
        <v>269557</v>
      </c>
      <c r="E21" s="70">
        <v>298899</v>
      </c>
      <c r="F21" s="70">
        <v>279971</v>
      </c>
      <c r="G21" s="70">
        <v>269406</v>
      </c>
      <c r="H21" s="70">
        <v>259468</v>
      </c>
      <c r="I21" s="70">
        <v>264606</v>
      </c>
      <c r="J21" s="70">
        <v>274598</v>
      </c>
      <c r="K21" s="70">
        <v>293169</v>
      </c>
      <c r="L21" s="70">
        <v>281772</v>
      </c>
      <c r="M21" s="70">
        <v>287233</v>
      </c>
      <c r="N21" s="70">
        <v>309659</v>
      </c>
      <c r="O21" s="70">
        <v>320002</v>
      </c>
      <c r="P21" s="70">
        <v>337614</v>
      </c>
      <c r="Q21" s="70">
        <v>333238</v>
      </c>
      <c r="R21" s="70">
        <v>514296</v>
      </c>
      <c r="S21" s="70">
        <v>518611</v>
      </c>
      <c r="T21" s="70">
        <v>456928</v>
      </c>
      <c r="U21" s="70">
        <v>412314</v>
      </c>
      <c r="V21" s="70">
        <v>439909</v>
      </c>
    </row>
  </sheetData>
  <phoneticPr fontId="21" type="noConversion"/>
  <hyperlinks>
    <hyperlink ref="A2" location="Sommaire!A1" display="Retour au menu &quot;Exploitation des films&quot;" xr:uid="{00000000-0004-0000-2100-000000000000}"/>
  </hyperlinks>
  <pageMargins left="0.78740157499999996" right="0.78740157499999996" top="0.984251969" bottom="0.984251969" header="0.4921259845" footer="0.492125984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21"/>
  <sheetViews>
    <sheetView workbookViewId="0"/>
  </sheetViews>
  <sheetFormatPr baseColWidth="10" defaultColWidth="5.5703125" defaultRowHeight="12" x14ac:dyDescent="0.2"/>
  <cols>
    <col min="1" max="1" width="29.85546875" style="46" customWidth="1"/>
    <col min="2" max="2" width="6.85546875" style="46" bestFit="1" customWidth="1"/>
    <col min="3" max="16" width="6.85546875" style="47" bestFit="1" customWidth="1"/>
    <col min="17" max="22" width="6.85546875" style="46" bestFit="1"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98</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6">
        <v>194101</v>
      </c>
      <c r="C8" s="26">
        <v>244200</v>
      </c>
      <c r="D8" s="26">
        <v>232502</v>
      </c>
      <c r="E8" s="26">
        <v>287240</v>
      </c>
      <c r="F8" s="26">
        <v>277162</v>
      </c>
      <c r="G8" s="26">
        <v>266941</v>
      </c>
      <c r="H8" s="26">
        <v>266023</v>
      </c>
      <c r="I8" s="26">
        <v>266013</v>
      </c>
      <c r="J8" s="26">
        <v>328404</v>
      </c>
      <c r="K8" s="26">
        <v>272154</v>
      </c>
      <c r="L8" s="26">
        <v>259085</v>
      </c>
      <c r="M8" s="26">
        <v>243148</v>
      </c>
      <c r="N8" s="26">
        <v>257638</v>
      </c>
      <c r="O8" s="26">
        <v>273357</v>
      </c>
      <c r="P8" s="26">
        <v>293525</v>
      </c>
      <c r="Q8" s="26">
        <v>315652</v>
      </c>
      <c r="R8" s="26">
        <v>268798</v>
      </c>
      <c r="S8" s="26">
        <v>335426</v>
      </c>
      <c r="T8" s="26">
        <v>418122</v>
      </c>
      <c r="U8" s="26">
        <v>318894</v>
      </c>
      <c r="V8" s="26">
        <v>386329</v>
      </c>
    </row>
    <row r="9" spans="1:22" x14ac:dyDescent="0.2">
      <c r="A9" s="7" t="s">
        <v>73</v>
      </c>
      <c r="B9" s="26">
        <v>78489</v>
      </c>
      <c r="C9" s="26">
        <v>94211</v>
      </c>
      <c r="D9" s="26">
        <v>110214</v>
      </c>
      <c r="E9" s="26">
        <v>171496</v>
      </c>
      <c r="F9" s="26">
        <v>96337</v>
      </c>
      <c r="G9" s="26">
        <v>73626</v>
      </c>
      <c r="H9" s="26">
        <v>94591</v>
      </c>
      <c r="I9" s="26">
        <v>96727</v>
      </c>
      <c r="J9" s="26">
        <v>125099</v>
      </c>
      <c r="K9" s="26">
        <v>161580</v>
      </c>
      <c r="L9" s="26">
        <v>116712</v>
      </c>
      <c r="M9" s="26">
        <v>128759</v>
      </c>
      <c r="N9" s="26">
        <v>135141</v>
      </c>
      <c r="O9" s="26">
        <v>152477</v>
      </c>
      <c r="P9" s="26">
        <v>156946</v>
      </c>
      <c r="Q9" s="26">
        <v>141138</v>
      </c>
      <c r="R9" s="26">
        <v>117030</v>
      </c>
      <c r="S9" s="26">
        <v>142507</v>
      </c>
      <c r="T9" s="26">
        <v>252007</v>
      </c>
      <c r="U9" s="26">
        <v>186176</v>
      </c>
      <c r="V9" s="26">
        <v>208537</v>
      </c>
    </row>
    <row r="10" spans="1:22" x14ac:dyDescent="0.2">
      <c r="A10" s="7" t="s">
        <v>1</v>
      </c>
      <c r="B10" s="26">
        <v>81637</v>
      </c>
      <c r="C10" s="26">
        <v>99939</v>
      </c>
      <c r="D10" s="26">
        <v>117805</v>
      </c>
      <c r="E10" s="26">
        <v>106543</v>
      </c>
      <c r="F10" s="26">
        <v>141022</v>
      </c>
      <c r="G10" s="26">
        <v>136436</v>
      </c>
      <c r="H10" s="26">
        <v>121045</v>
      </c>
      <c r="I10" s="26">
        <v>124990</v>
      </c>
      <c r="J10" s="26">
        <v>129182</v>
      </c>
      <c r="K10" s="26">
        <v>152485</v>
      </c>
      <c r="L10" s="26">
        <v>138726</v>
      </c>
      <c r="M10" s="26">
        <v>130807</v>
      </c>
      <c r="N10" s="26">
        <v>133804</v>
      </c>
      <c r="O10" s="26">
        <v>138194</v>
      </c>
      <c r="P10" s="26">
        <v>131952</v>
      </c>
      <c r="Q10" s="26">
        <v>166568</v>
      </c>
      <c r="R10" s="26">
        <v>108845</v>
      </c>
      <c r="S10" s="26">
        <v>142133</v>
      </c>
      <c r="T10" s="26">
        <v>241022</v>
      </c>
      <c r="U10" s="26">
        <v>209287</v>
      </c>
      <c r="V10" s="26">
        <v>183460</v>
      </c>
    </row>
    <row r="11" spans="1:22" x14ac:dyDescent="0.2">
      <c r="A11" s="7" t="s">
        <v>74</v>
      </c>
      <c r="B11" s="26">
        <v>55375</v>
      </c>
      <c r="C11" s="26">
        <v>90067</v>
      </c>
      <c r="D11" s="26">
        <v>55021</v>
      </c>
      <c r="E11" s="26">
        <v>101246</v>
      </c>
      <c r="F11" s="26">
        <v>73114</v>
      </c>
      <c r="G11" s="26">
        <v>97317</v>
      </c>
      <c r="H11" s="26">
        <v>98225</v>
      </c>
      <c r="I11" s="26">
        <v>89221</v>
      </c>
      <c r="J11" s="26">
        <v>98861</v>
      </c>
      <c r="K11" s="26">
        <v>123734</v>
      </c>
      <c r="L11" s="26">
        <v>88792</v>
      </c>
      <c r="M11" s="26">
        <v>80055</v>
      </c>
      <c r="N11" s="26">
        <v>82529</v>
      </c>
      <c r="O11" s="26">
        <v>79905</v>
      </c>
      <c r="P11" s="26">
        <v>107615</v>
      </c>
      <c r="Q11" s="26">
        <v>82644</v>
      </c>
      <c r="R11" s="26">
        <v>98635</v>
      </c>
      <c r="S11" s="26">
        <v>87243</v>
      </c>
      <c r="T11" s="26">
        <v>117140</v>
      </c>
      <c r="U11" s="26">
        <v>125542</v>
      </c>
      <c r="V11" s="26">
        <v>141687</v>
      </c>
    </row>
    <row r="12" spans="1:22" x14ac:dyDescent="0.2">
      <c r="A12" s="7" t="s">
        <v>5</v>
      </c>
      <c r="B12" s="26">
        <v>7741</v>
      </c>
      <c r="C12" s="26">
        <v>4796</v>
      </c>
      <c r="D12" s="26">
        <v>4548</v>
      </c>
      <c r="E12" s="26">
        <v>4114</v>
      </c>
      <c r="F12" s="26">
        <v>4091</v>
      </c>
      <c r="G12" s="26">
        <v>4204</v>
      </c>
      <c r="H12" s="26">
        <v>4000</v>
      </c>
      <c r="I12" s="26">
        <v>3188</v>
      </c>
      <c r="J12" s="26">
        <v>0</v>
      </c>
      <c r="K12" s="26">
        <v>0</v>
      </c>
      <c r="L12" s="26">
        <v>4894</v>
      </c>
      <c r="M12" s="26">
        <v>13194</v>
      </c>
      <c r="N12" s="26">
        <v>13713</v>
      </c>
      <c r="O12" s="26">
        <v>13746</v>
      </c>
      <c r="P12" s="26">
        <v>13982</v>
      </c>
      <c r="Q12" s="26">
        <v>14016</v>
      </c>
      <c r="R12" s="26">
        <v>5000</v>
      </c>
      <c r="S12" s="26">
        <v>5499</v>
      </c>
      <c r="T12" s="26">
        <v>20205</v>
      </c>
      <c r="U12" s="26">
        <v>19978</v>
      </c>
      <c r="V12" s="26">
        <v>20233</v>
      </c>
    </row>
    <row r="13" spans="1:22" x14ac:dyDescent="0.2">
      <c r="A13" s="7" t="s">
        <v>77</v>
      </c>
      <c r="B13" s="26">
        <v>174935</v>
      </c>
      <c r="C13" s="26">
        <v>178270</v>
      </c>
      <c r="D13" s="26">
        <v>190252</v>
      </c>
      <c r="E13" s="26">
        <v>174535</v>
      </c>
      <c r="F13" s="26">
        <v>202607</v>
      </c>
      <c r="G13" s="26">
        <v>199980</v>
      </c>
      <c r="H13" s="26">
        <v>196787</v>
      </c>
      <c r="I13" s="26">
        <v>192214</v>
      </c>
      <c r="J13" s="26">
        <v>217722</v>
      </c>
      <c r="K13" s="26">
        <v>221157</v>
      </c>
      <c r="L13" s="26">
        <v>229117</v>
      </c>
      <c r="M13" s="26">
        <v>264134</v>
      </c>
      <c r="N13" s="26">
        <v>244532</v>
      </c>
      <c r="O13" s="26">
        <v>263733</v>
      </c>
      <c r="P13" s="26">
        <v>262793</v>
      </c>
      <c r="Q13" s="26">
        <v>238780</v>
      </c>
      <c r="R13" s="26">
        <v>209056</v>
      </c>
      <c r="S13" s="26">
        <v>277194</v>
      </c>
      <c r="T13" s="26">
        <v>408504</v>
      </c>
      <c r="U13" s="26">
        <v>337245</v>
      </c>
      <c r="V13" s="26">
        <v>433294</v>
      </c>
    </row>
    <row r="14" spans="1:22" x14ac:dyDescent="0.2">
      <c r="A14" s="7" t="s">
        <v>78</v>
      </c>
      <c r="B14" s="26">
        <v>151306</v>
      </c>
      <c r="C14" s="26">
        <v>199034</v>
      </c>
      <c r="D14" s="26">
        <v>186865</v>
      </c>
      <c r="E14" s="26">
        <v>235045</v>
      </c>
      <c r="F14" s="26">
        <v>152204</v>
      </c>
      <c r="G14" s="26">
        <v>153023</v>
      </c>
      <c r="H14" s="26">
        <v>153405</v>
      </c>
      <c r="I14" s="26">
        <v>160558</v>
      </c>
      <c r="J14" s="26">
        <v>165138</v>
      </c>
      <c r="K14" s="26">
        <v>222480</v>
      </c>
      <c r="L14" s="26">
        <v>199880</v>
      </c>
      <c r="M14" s="26">
        <v>198249</v>
      </c>
      <c r="N14" s="26">
        <v>215195</v>
      </c>
      <c r="O14" s="26">
        <v>219953</v>
      </c>
      <c r="P14" s="26">
        <v>263074</v>
      </c>
      <c r="Q14" s="26">
        <v>241279</v>
      </c>
      <c r="R14" s="26">
        <v>198336</v>
      </c>
      <c r="S14" s="26">
        <v>232147</v>
      </c>
      <c r="T14" s="26">
        <v>433076</v>
      </c>
      <c r="U14" s="26">
        <v>373534</v>
      </c>
      <c r="V14" s="26">
        <v>436350</v>
      </c>
    </row>
    <row r="15" spans="1:22" x14ac:dyDescent="0.2">
      <c r="A15" s="7" t="s">
        <v>2</v>
      </c>
      <c r="B15" s="26">
        <v>400201.54196842806</v>
      </c>
      <c r="C15" s="26">
        <v>482064.43557270465</v>
      </c>
      <c r="D15" s="26">
        <v>388896.46344378026</v>
      </c>
      <c r="E15" s="26">
        <v>441908.88013691455</v>
      </c>
      <c r="F15" s="26">
        <v>417902.24442806118</v>
      </c>
      <c r="G15" s="26">
        <v>398261.01868634613</v>
      </c>
      <c r="H15" s="26">
        <v>392919.93867551448</v>
      </c>
      <c r="I15" s="26">
        <v>436354.71171087585</v>
      </c>
      <c r="J15" s="26">
        <v>388055.87030912039</v>
      </c>
      <c r="K15" s="26">
        <v>465829.69909943442</v>
      </c>
      <c r="L15" s="26">
        <v>453380.41263023473</v>
      </c>
      <c r="M15" s="26">
        <v>489352.93131112575</v>
      </c>
      <c r="N15" s="26">
        <v>524537.85430312925</v>
      </c>
      <c r="O15" s="26">
        <v>544442.77528337506</v>
      </c>
      <c r="P15" s="26">
        <v>577614.07066583261</v>
      </c>
      <c r="Q15" s="26">
        <v>565635.44348113553</v>
      </c>
      <c r="R15" s="26">
        <v>566695.99664282589</v>
      </c>
      <c r="S15" s="26">
        <v>609478</v>
      </c>
      <c r="T15" s="26">
        <v>710159.25058777269</v>
      </c>
      <c r="U15" s="26">
        <v>610753.32916245551</v>
      </c>
      <c r="V15" s="26">
        <v>651987.16266777262</v>
      </c>
    </row>
    <row r="16" spans="1:22" x14ac:dyDescent="0.2">
      <c r="A16" s="7" t="s">
        <v>75</v>
      </c>
      <c r="B16" s="26">
        <v>102758</v>
      </c>
      <c r="C16" s="26">
        <v>99144</v>
      </c>
      <c r="D16" s="26">
        <v>126523</v>
      </c>
      <c r="E16" s="26">
        <v>121739</v>
      </c>
      <c r="F16" s="26">
        <v>125622</v>
      </c>
      <c r="G16" s="26">
        <v>121789</v>
      </c>
      <c r="H16" s="26">
        <v>100811</v>
      </c>
      <c r="I16" s="26">
        <v>115238</v>
      </c>
      <c r="J16" s="26">
        <v>117888</v>
      </c>
      <c r="K16" s="26">
        <v>104558</v>
      </c>
      <c r="L16" s="26">
        <v>115683</v>
      </c>
      <c r="M16" s="26">
        <v>117163</v>
      </c>
      <c r="N16" s="26">
        <v>157104</v>
      </c>
      <c r="O16" s="26">
        <v>163498</v>
      </c>
      <c r="P16" s="26">
        <v>169960</v>
      </c>
      <c r="Q16" s="26">
        <v>182311</v>
      </c>
      <c r="R16" s="26">
        <v>111791</v>
      </c>
      <c r="S16" s="26">
        <v>113680</v>
      </c>
      <c r="T16" s="26">
        <v>205061</v>
      </c>
      <c r="U16" s="26">
        <v>177242</v>
      </c>
      <c r="V16" s="26">
        <v>191556</v>
      </c>
    </row>
    <row r="17" spans="1:22" x14ac:dyDescent="0.2">
      <c r="A17" s="7" t="s">
        <v>79</v>
      </c>
      <c r="B17" s="26">
        <v>226969</v>
      </c>
      <c r="C17" s="26">
        <v>257778</v>
      </c>
      <c r="D17" s="26">
        <v>288829</v>
      </c>
      <c r="E17" s="26">
        <v>292997</v>
      </c>
      <c r="F17" s="26">
        <v>305735</v>
      </c>
      <c r="G17" s="26">
        <v>251060</v>
      </c>
      <c r="H17" s="26">
        <v>247739</v>
      </c>
      <c r="I17" s="26">
        <v>263795</v>
      </c>
      <c r="J17" s="26">
        <v>285892</v>
      </c>
      <c r="K17" s="26">
        <v>339178</v>
      </c>
      <c r="L17" s="26">
        <v>340756</v>
      </c>
      <c r="M17" s="26">
        <v>360417</v>
      </c>
      <c r="N17" s="26">
        <v>429291</v>
      </c>
      <c r="O17" s="26">
        <v>450981</v>
      </c>
      <c r="P17" s="26">
        <v>479380</v>
      </c>
      <c r="Q17" s="26">
        <v>467712</v>
      </c>
      <c r="R17" s="26">
        <v>177283</v>
      </c>
      <c r="S17" s="26">
        <v>340221</v>
      </c>
      <c r="T17" s="26">
        <v>497785</v>
      </c>
      <c r="U17" s="26">
        <v>517249</v>
      </c>
      <c r="V17" s="26">
        <v>486977</v>
      </c>
    </row>
    <row r="18" spans="1:22" x14ac:dyDescent="0.2">
      <c r="A18" s="7" t="s">
        <v>80</v>
      </c>
      <c r="B18" s="26">
        <v>183021</v>
      </c>
      <c r="C18" s="26">
        <v>169278</v>
      </c>
      <c r="D18" s="26">
        <v>164891</v>
      </c>
      <c r="E18" s="26">
        <v>149533</v>
      </c>
      <c r="F18" s="26">
        <v>174356</v>
      </c>
      <c r="G18" s="26">
        <v>183758</v>
      </c>
      <c r="H18" s="26">
        <v>199143</v>
      </c>
      <c r="I18" s="26">
        <v>221324</v>
      </c>
      <c r="J18" s="26">
        <v>236822</v>
      </c>
      <c r="K18" s="26">
        <v>226841</v>
      </c>
      <c r="L18" s="26">
        <v>254238</v>
      </c>
      <c r="M18" s="26">
        <v>248907</v>
      </c>
      <c r="N18" s="26">
        <v>261129</v>
      </c>
      <c r="O18" s="26">
        <v>292323</v>
      </c>
      <c r="P18" s="26">
        <v>362541</v>
      </c>
      <c r="Q18" s="26">
        <v>326509</v>
      </c>
      <c r="R18" s="26">
        <v>194113</v>
      </c>
      <c r="S18" s="26">
        <v>236227</v>
      </c>
      <c r="T18" s="26">
        <v>370294</v>
      </c>
      <c r="U18" s="26">
        <v>370055</v>
      </c>
      <c r="V18" s="26">
        <v>388821</v>
      </c>
    </row>
    <row r="19" spans="1:22" x14ac:dyDescent="0.2">
      <c r="A19" s="7" t="s">
        <v>3</v>
      </c>
      <c r="B19" s="26">
        <v>101279</v>
      </c>
      <c r="C19" s="26">
        <v>113405</v>
      </c>
      <c r="D19" s="26">
        <v>86273</v>
      </c>
      <c r="E19" s="26">
        <v>131859</v>
      </c>
      <c r="F19" s="26">
        <v>131196</v>
      </c>
      <c r="G19" s="26">
        <v>140557</v>
      </c>
      <c r="H19" s="26">
        <v>119329</v>
      </c>
      <c r="I19" s="26">
        <v>116113</v>
      </c>
      <c r="J19" s="26">
        <v>149935</v>
      </c>
      <c r="K19" s="26">
        <v>159764</v>
      </c>
      <c r="L19" s="26">
        <v>108767</v>
      </c>
      <c r="M19" s="26">
        <v>132625</v>
      </c>
      <c r="N19" s="26">
        <v>159315</v>
      </c>
      <c r="O19" s="26">
        <v>147330</v>
      </c>
      <c r="P19" s="26">
        <v>190747</v>
      </c>
      <c r="Q19" s="26">
        <v>195743</v>
      </c>
      <c r="R19" s="26">
        <v>138111</v>
      </c>
      <c r="S19" s="26">
        <v>148141</v>
      </c>
      <c r="T19" s="26">
        <v>217212</v>
      </c>
      <c r="U19" s="26">
        <v>229441</v>
      </c>
      <c r="V19" s="26">
        <v>222500</v>
      </c>
    </row>
    <row r="20" spans="1:22" x14ac:dyDescent="0.2">
      <c r="A20" s="7" t="s">
        <v>4</v>
      </c>
      <c r="B20" s="26">
        <v>147130</v>
      </c>
      <c r="C20" s="26">
        <v>153468</v>
      </c>
      <c r="D20" s="26">
        <v>152623</v>
      </c>
      <c r="E20" s="26">
        <v>150192</v>
      </c>
      <c r="F20" s="26">
        <v>165241</v>
      </c>
      <c r="G20" s="26">
        <v>157182</v>
      </c>
      <c r="H20" s="26">
        <v>145080</v>
      </c>
      <c r="I20" s="26">
        <v>144860</v>
      </c>
      <c r="J20" s="26">
        <v>142793</v>
      </c>
      <c r="K20" s="26">
        <v>148926</v>
      </c>
      <c r="L20" s="26">
        <v>174634</v>
      </c>
      <c r="M20" s="26">
        <v>196085</v>
      </c>
      <c r="N20" s="26">
        <v>230252</v>
      </c>
      <c r="O20" s="26">
        <v>243811</v>
      </c>
      <c r="P20" s="26">
        <v>236909</v>
      </c>
      <c r="Q20" s="26">
        <v>246417</v>
      </c>
      <c r="R20" s="26">
        <v>167071</v>
      </c>
      <c r="S20" s="26">
        <v>190829</v>
      </c>
      <c r="T20" s="26">
        <v>280550</v>
      </c>
      <c r="U20" s="26">
        <v>266535</v>
      </c>
      <c r="V20" s="26">
        <v>275712</v>
      </c>
    </row>
    <row r="21" spans="1:22" s="48" customFormat="1" x14ac:dyDescent="0.2">
      <c r="A21" s="49" t="s">
        <v>0</v>
      </c>
      <c r="B21" s="71">
        <v>1904942.5419684281</v>
      </c>
      <c r="C21" s="71">
        <v>2185654.4355727048</v>
      </c>
      <c r="D21" s="71">
        <v>2105242.4634437803</v>
      </c>
      <c r="E21" s="71">
        <v>2368447.8801369146</v>
      </c>
      <c r="F21" s="71">
        <v>2266589.2444280609</v>
      </c>
      <c r="G21" s="71">
        <v>2184134.0186863462</v>
      </c>
      <c r="H21" s="71">
        <v>2139097.9386755144</v>
      </c>
      <c r="I21" s="71">
        <v>2230595.7117108759</v>
      </c>
      <c r="J21" s="71">
        <v>2385791.8703091205</v>
      </c>
      <c r="K21" s="71">
        <v>2598686.6990994345</v>
      </c>
      <c r="L21" s="71">
        <v>2484664.4126302348</v>
      </c>
      <c r="M21" s="71">
        <v>2602895.9313111259</v>
      </c>
      <c r="N21" s="71">
        <v>2844180.854303129</v>
      </c>
      <c r="O21" s="71">
        <v>2983750.7752833748</v>
      </c>
      <c r="P21" s="71">
        <v>3247038.0706658326</v>
      </c>
      <c r="Q21" s="71">
        <v>3184404.4434811356</v>
      </c>
      <c r="R21" s="71">
        <v>2360764.9966428261</v>
      </c>
      <c r="S21" s="71">
        <v>2860725</v>
      </c>
      <c r="T21" s="71">
        <v>4171137.2505877726</v>
      </c>
      <c r="U21" s="71">
        <v>3741931.3291624556</v>
      </c>
      <c r="V21" s="71">
        <v>4027443.1626677727</v>
      </c>
    </row>
  </sheetData>
  <phoneticPr fontId="21" type="noConversion"/>
  <hyperlinks>
    <hyperlink ref="A2" location="Sommaire!A1" display="Retour au menu &quot;Exploitation des films&quot;" xr:uid="{00000000-0004-0000-2200-000000000000}"/>
  </hyperlinks>
  <pageMargins left="0.78740157499999996" right="0.78740157499999996" top="0.984251969" bottom="0.984251969" header="0.4921259845" footer="0.492125984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V21"/>
  <sheetViews>
    <sheetView workbookViewId="0"/>
  </sheetViews>
  <sheetFormatPr baseColWidth="10" defaultColWidth="5.5703125" defaultRowHeight="12" x14ac:dyDescent="0.2"/>
  <cols>
    <col min="1" max="1" width="29.85546875" style="46" customWidth="1"/>
    <col min="2" max="2" width="5.42578125" style="46" bestFit="1" customWidth="1"/>
    <col min="3" max="16" width="5.42578125" style="47" bestFit="1" customWidth="1"/>
    <col min="17" max="17" width="5.4257812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97</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4">
        <v>5140731</v>
      </c>
      <c r="C8" s="24">
        <v>5671137</v>
      </c>
      <c r="D8" s="24">
        <v>5999803</v>
      </c>
      <c r="E8" s="24">
        <v>6764109</v>
      </c>
      <c r="F8" s="24">
        <v>6438381</v>
      </c>
      <c r="G8" s="24">
        <v>6549195</v>
      </c>
      <c r="H8" s="24">
        <v>6460181</v>
      </c>
      <c r="I8" s="24">
        <v>6765415</v>
      </c>
      <c r="J8" s="24">
        <v>7453147</v>
      </c>
      <c r="K8" s="24">
        <v>6169547</v>
      </c>
      <c r="L8" s="24">
        <v>6423885</v>
      </c>
      <c r="M8" s="24">
        <v>6247706</v>
      </c>
      <c r="N8" s="24">
        <v>6609074</v>
      </c>
      <c r="O8" s="24">
        <v>6842352</v>
      </c>
      <c r="P8" s="24">
        <v>6762803</v>
      </c>
      <c r="Q8" s="24">
        <v>7666625</v>
      </c>
      <c r="R8" s="24">
        <v>3856845</v>
      </c>
      <c r="S8" s="24">
        <v>5992162</v>
      </c>
      <c r="T8" s="24">
        <v>6832255</v>
      </c>
      <c r="U8" s="24">
        <v>6950976</v>
      </c>
      <c r="V8" s="24">
        <v>8137644</v>
      </c>
    </row>
    <row r="9" spans="1:22" x14ac:dyDescent="0.2">
      <c r="A9" s="7" t="s">
        <v>73</v>
      </c>
      <c r="B9" s="24">
        <v>1961745</v>
      </c>
      <c r="C9" s="24">
        <v>2043181</v>
      </c>
      <c r="D9" s="24">
        <v>2649835</v>
      </c>
      <c r="E9" s="24">
        <v>3532466</v>
      </c>
      <c r="F9" s="24">
        <v>2298831</v>
      </c>
      <c r="G9" s="24">
        <v>1835942</v>
      </c>
      <c r="H9" s="24">
        <v>2027456</v>
      </c>
      <c r="I9" s="24">
        <v>2151467</v>
      </c>
      <c r="J9" s="24">
        <v>2764733</v>
      </c>
      <c r="K9" s="24">
        <v>3388044</v>
      </c>
      <c r="L9" s="24">
        <v>2441416</v>
      </c>
      <c r="M9" s="24">
        <v>2581932</v>
      </c>
      <c r="N9" s="24">
        <v>2782163</v>
      </c>
      <c r="O9" s="24">
        <v>3150090</v>
      </c>
      <c r="P9" s="24">
        <v>2966984</v>
      </c>
      <c r="Q9" s="24">
        <v>2764460</v>
      </c>
      <c r="R9" s="24">
        <v>1536659</v>
      </c>
      <c r="S9" s="24">
        <v>2511296</v>
      </c>
      <c r="T9" s="24">
        <v>3710518</v>
      </c>
      <c r="U9" s="24">
        <v>3336569</v>
      </c>
      <c r="V9" s="24">
        <v>3748023</v>
      </c>
    </row>
    <row r="10" spans="1:22" x14ac:dyDescent="0.2">
      <c r="A10" s="7" t="s">
        <v>1</v>
      </c>
      <c r="B10" s="24">
        <v>2746676</v>
      </c>
      <c r="C10" s="24">
        <v>2778495</v>
      </c>
      <c r="D10" s="24">
        <v>3194850</v>
      </c>
      <c r="E10" s="24">
        <v>2648158</v>
      </c>
      <c r="F10" s="24">
        <v>3539235</v>
      </c>
      <c r="G10" s="24">
        <v>3377795</v>
      </c>
      <c r="H10" s="24">
        <v>2951107</v>
      </c>
      <c r="I10" s="24">
        <v>3225836</v>
      </c>
      <c r="J10" s="24">
        <v>3004416</v>
      </c>
      <c r="K10" s="24">
        <v>3270779</v>
      </c>
      <c r="L10" s="24">
        <v>3144179</v>
      </c>
      <c r="M10" s="24">
        <v>2825064</v>
      </c>
      <c r="N10" s="24">
        <v>2993726</v>
      </c>
      <c r="O10" s="24">
        <v>3076873</v>
      </c>
      <c r="P10" s="24">
        <v>2863795</v>
      </c>
      <c r="Q10" s="24">
        <v>3638497</v>
      </c>
      <c r="R10" s="24">
        <v>1749796</v>
      </c>
      <c r="S10" s="24">
        <v>2752131</v>
      </c>
      <c r="T10" s="24">
        <v>4252274</v>
      </c>
      <c r="U10" s="24">
        <v>4435697</v>
      </c>
      <c r="V10" s="24">
        <v>4242589</v>
      </c>
    </row>
    <row r="11" spans="1:22" x14ac:dyDescent="0.2">
      <c r="A11" s="7" t="s">
        <v>74</v>
      </c>
      <c r="B11" s="24">
        <v>1457160</v>
      </c>
      <c r="C11" s="24">
        <v>1725551</v>
      </c>
      <c r="D11" s="24">
        <v>1210729</v>
      </c>
      <c r="E11" s="24">
        <v>2063846</v>
      </c>
      <c r="F11" s="24">
        <v>1682750</v>
      </c>
      <c r="G11" s="24">
        <v>2232716</v>
      </c>
      <c r="H11" s="24">
        <v>2256172</v>
      </c>
      <c r="I11" s="24">
        <v>2044743</v>
      </c>
      <c r="J11" s="24">
        <v>2274572</v>
      </c>
      <c r="K11" s="24">
        <v>2567904</v>
      </c>
      <c r="L11" s="24">
        <v>1915289</v>
      </c>
      <c r="M11" s="24">
        <v>1831936</v>
      </c>
      <c r="N11" s="24">
        <v>1904944</v>
      </c>
      <c r="O11" s="24">
        <v>1837885</v>
      </c>
      <c r="P11" s="24">
        <v>2146962</v>
      </c>
      <c r="Q11" s="24">
        <v>1830673</v>
      </c>
      <c r="R11" s="24">
        <v>1524892</v>
      </c>
      <c r="S11" s="24">
        <v>1630255</v>
      </c>
      <c r="T11" s="24">
        <v>1805875</v>
      </c>
      <c r="U11" s="24">
        <v>2307627</v>
      </c>
      <c r="V11" s="24">
        <v>2523900</v>
      </c>
    </row>
    <row r="12" spans="1:22" x14ac:dyDescent="0.2">
      <c r="A12" s="7" t="s">
        <v>5</v>
      </c>
      <c r="B12" s="24">
        <v>201462</v>
      </c>
      <c r="C12" s="24">
        <v>112290</v>
      </c>
      <c r="D12" s="24">
        <v>118442</v>
      </c>
      <c r="E12" s="24">
        <v>107226</v>
      </c>
      <c r="F12" s="24">
        <v>107194</v>
      </c>
      <c r="G12" s="24">
        <v>119726</v>
      </c>
      <c r="H12" s="24">
        <v>121078</v>
      </c>
      <c r="I12" s="24">
        <v>94607</v>
      </c>
      <c r="J12" s="24">
        <v>0</v>
      </c>
      <c r="K12" s="24">
        <v>0</v>
      </c>
      <c r="L12" s="24">
        <v>181905</v>
      </c>
      <c r="M12" s="24">
        <v>409513</v>
      </c>
      <c r="N12" s="24">
        <v>453649</v>
      </c>
      <c r="O12" s="24">
        <v>463790</v>
      </c>
      <c r="P12" s="24">
        <v>439055</v>
      </c>
      <c r="Q12" s="24">
        <v>450508</v>
      </c>
      <c r="R12" s="24">
        <v>92567</v>
      </c>
      <c r="S12" s="24">
        <v>140488</v>
      </c>
      <c r="T12" s="24">
        <v>416990</v>
      </c>
      <c r="U12" s="24">
        <v>499445</v>
      </c>
      <c r="V12" s="24">
        <v>470930</v>
      </c>
    </row>
    <row r="13" spans="1:22" x14ac:dyDescent="0.2">
      <c r="A13" s="7" t="s">
        <v>77</v>
      </c>
      <c r="B13" s="24">
        <v>4401397</v>
      </c>
      <c r="C13" s="24">
        <v>3774317</v>
      </c>
      <c r="D13" s="24">
        <v>4336045</v>
      </c>
      <c r="E13" s="24">
        <v>3746210</v>
      </c>
      <c r="F13" s="24">
        <v>4353282</v>
      </c>
      <c r="G13" s="24">
        <v>4479808</v>
      </c>
      <c r="H13" s="24">
        <v>4340572</v>
      </c>
      <c r="I13" s="24">
        <v>4372034</v>
      </c>
      <c r="J13" s="24">
        <v>4414914</v>
      </c>
      <c r="K13" s="24">
        <v>4193788</v>
      </c>
      <c r="L13" s="24">
        <v>4900638</v>
      </c>
      <c r="M13" s="24">
        <v>5469905</v>
      </c>
      <c r="N13" s="24">
        <v>5184003</v>
      </c>
      <c r="O13" s="24">
        <v>5375939</v>
      </c>
      <c r="P13" s="24">
        <v>5038238</v>
      </c>
      <c r="Q13" s="24">
        <v>4736220</v>
      </c>
      <c r="R13" s="24">
        <v>3261299</v>
      </c>
      <c r="S13" s="24">
        <v>4816426</v>
      </c>
      <c r="T13" s="24">
        <v>5983861</v>
      </c>
      <c r="U13" s="24">
        <v>6073482</v>
      </c>
      <c r="V13" s="24">
        <v>7246477</v>
      </c>
    </row>
    <row r="14" spans="1:22" x14ac:dyDescent="0.2">
      <c r="A14" s="7" t="s">
        <v>78</v>
      </c>
      <c r="B14" s="24">
        <v>3491387</v>
      </c>
      <c r="C14" s="24">
        <v>4272664</v>
      </c>
      <c r="D14" s="24">
        <v>4083628</v>
      </c>
      <c r="E14" s="24">
        <v>4968268</v>
      </c>
      <c r="F14" s="24">
        <v>3250824</v>
      </c>
      <c r="G14" s="24">
        <v>3340325</v>
      </c>
      <c r="H14" s="24">
        <v>3286587</v>
      </c>
      <c r="I14" s="24">
        <v>3682555</v>
      </c>
      <c r="J14" s="24">
        <v>3417561</v>
      </c>
      <c r="K14" s="24">
        <v>4377545</v>
      </c>
      <c r="L14" s="24">
        <v>4458102</v>
      </c>
      <c r="M14" s="24">
        <v>4368493</v>
      </c>
      <c r="N14" s="24">
        <v>4856588</v>
      </c>
      <c r="O14" s="24">
        <v>4939129</v>
      </c>
      <c r="P14" s="24">
        <v>5451594</v>
      </c>
      <c r="Q14" s="24">
        <v>5140305</v>
      </c>
      <c r="R14" s="24">
        <v>3014216</v>
      </c>
      <c r="S14" s="24">
        <v>4275287</v>
      </c>
      <c r="T14" s="24">
        <v>6673389</v>
      </c>
      <c r="U14" s="24">
        <v>7023909</v>
      </c>
      <c r="V14" s="24">
        <v>7955569</v>
      </c>
    </row>
    <row r="15" spans="1:22" x14ac:dyDescent="0.2">
      <c r="A15" s="7" t="s">
        <v>2</v>
      </c>
      <c r="B15" s="24">
        <v>10644077.883468445</v>
      </c>
      <c r="C15" s="24">
        <v>11428781.334882036</v>
      </c>
      <c r="D15" s="24">
        <v>9695673.8234493956</v>
      </c>
      <c r="E15" s="24">
        <v>10558075.532453138</v>
      </c>
      <c r="F15" s="24">
        <v>10137830.934675366</v>
      </c>
      <c r="G15" s="24">
        <v>10001329.413512388</v>
      </c>
      <c r="H15" s="24">
        <v>9299022.1019808576</v>
      </c>
      <c r="I15" s="24">
        <v>10335397.569304563</v>
      </c>
      <c r="J15" s="24">
        <v>9137141.7540568132</v>
      </c>
      <c r="K15" s="24">
        <v>11117428.258094501</v>
      </c>
      <c r="L15" s="24">
        <v>10608279.110558845</v>
      </c>
      <c r="M15" s="24">
        <v>10679885.502226999</v>
      </c>
      <c r="N15" s="24">
        <v>11942996.78830548</v>
      </c>
      <c r="O15" s="24">
        <v>11856896.622874882</v>
      </c>
      <c r="P15" s="24">
        <v>11612561.898099259</v>
      </c>
      <c r="Q15" s="24">
        <v>11816667.891161282</v>
      </c>
      <c r="R15" s="24">
        <v>10161370.25595941</v>
      </c>
      <c r="S15" s="24">
        <v>11941307</v>
      </c>
      <c r="T15" s="24">
        <v>12336882.960434612</v>
      </c>
      <c r="U15" s="24">
        <v>11461575.344904397</v>
      </c>
      <c r="V15" s="24">
        <v>12249501.967203494</v>
      </c>
    </row>
    <row r="16" spans="1:22" x14ac:dyDescent="0.2">
      <c r="A16" s="7" t="s">
        <v>75</v>
      </c>
      <c r="B16" s="24">
        <v>2310592</v>
      </c>
      <c r="C16" s="24">
        <v>2149552</v>
      </c>
      <c r="D16" s="24">
        <v>3065745</v>
      </c>
      <c r="E16" s="24">
        <v>2631407</v>
      </c>
      <c r="F16" s="24">
        <v>2883703</v>
      </c>
      <c r="G16" s="24">
        <v>2894328</v>
      </c>
      <c r="H16" s="24">
        <v>2088069</v>
      </c>
      <c r="I16" s="24">
        <v>2586427</v>
      </c>
      <c r="J16" s="24">
        <v>2541500</v>
      </c>
      <c r="K16" s="24">
        <v>1926844</v>
      </c>
      <c r="L16" s="24">
        <v>2511149</v>
      </c>
      <c r="M16" s="24">
        <v>2487172</v>
      </c>
      <c r="N16" s="24">
        <v>3060429</v>
      </c>
      <c r="O16" s="24">
        <v>3025091</v>
      </c>
      <c r="P16" s="24">
        <v>3011030</v>
      </c>
      <c r="Q16" s="24">
        <v>3516615</v>
      </c>
      <c r="R16" s="24">
        <v>1684598</v>
      </c>
      <c r="S16" s="24">
        <v>2321909</v>
      </c>
      <c r="T16" s="24">
        <v>3258629</v>
      </c>
      <c r="U16" s="24">
        <v>3315978</v>
      </c>
      <c r="V16" s="24">
        <v>3608262</v>
      </c>
    </row>
    <row r="17" spans="1:22" x14ac:dyDescent="0.2">
      <c r="A17" s="7" t="s">
        <v>79</v>
      </c>
      <c r="B17" s="24">
        <v>5197026</v>
      </c>
      <c r="C17" s="24">
        <v>5036443</v>
      </c>
      <c r="D17" s="24">
        <v>5988532</v>
      </c>
      <c r="E17" s="24">
        <v>6107068</v>
      </c>
      <c r="F17" s="24">
        <v>6138146</v>
      </c>
      <c r="G17" s="24">
        <v>5374137</v>
      </c>
      <c r="H17" s="24">
        <v>5389452</v>
      </c>
      <c r="I17" s="24">
        <v>5834901</v>
      </c>
      <c r="J17" s="24">
        <v>6017746</v>
      </c>
      <c r="K17" s="24">
        <v>6187908</v>
      </c>
      <c r="L17" s="24">
        <v>6671733</v>
      </c>
      <c r="M17" s="24">
        <v>7320768</v>
      </c>
      <c r="N17" s="24">
        <v>8578762</v>
      </c>
      <c r="O17" s="24">
        <v>8771403</v>
      </c>
      <c r="P17" s="24">
        <v>8832998</v>
      </c>
      <c r="Q17" s="24">
        <v>9208813</v>
      </c>
      <c r="R17" s="24">
        <v>2194751</v>
      </c>
      <c r="S17" s="24">
        <v>5316925</v>
      </c>
      <c r="T17" s="24">
        <v>7282060</v>
      </c>
      <c r="U17" s="24">
        <v>9242376</v>
      </c>
      <c r="V17" s="24">
        <v>8956156</v>
      </c>
    </row>
    <row r="18" spans="1:22" x14ac:dyDescent="0.2">
      <c r="A18" s="7" t="s">
        <v>80</v>
      </c>
      <c r="B18" s="24">
        <v>4275142</v>
      </c>
      <c r="C18" s="24">
        <v>3541285</v>
      </c>
      <c r="D18" s="24">
        <v>3452843</v>
      </c>
      <c r="E18" s="24">
        <v>2913209</v>
      </c>
      <c r="F18" s="24">
        <v>3662218</v>
      </c>
      <c r="G18" s="24">
        <v>4152880</v>
      </c>
      <c r="H18" s="24">
        <v>4444444</v>
      </c>
      <c r="I18" s="24">
        <v>5042819</v>
      </c>
      <c r="J18" s="24">
        <v>4962585</v>
      </c>
      <c r="K18" s="24">
        <v>4459886</v>
      </c>
      <c r="L18" s="24">
        <v>5259273</v>
      </c>
      <c r="M18" s="24">
        <v>5020144</v>
      </c>
      <c r="N18" s="24">
        <v>5417303</v>
      </c>
      <c r="O18" s="24">
        <v>5878107</v>
      </c>
      <c r="P18" s="24">
        <v>6521991</v>
      </c>
      <c r="Q18" s="24">
        <v>6476470</v>
      </c>
      <c r="R18" s="24">
        <v>2486248</v>
      </c>
      <c r="S18" s="24">
        <v>3664178</v>
      </c>
      <c r="T18" s="24">
        <v>5513234</v>
      </c>
      <c r="U18" s="24">
        <v>6652142</v>
      </c>
      <c r="V18" s="24">
        <v>7086181</v>
      </c>
    </row>
    <row r="19" spans="1:22" x14ac:dyDescent="0.2">
      <c r="A19" s="7" t="s">
        <v>3</v>
      </c>
      <c r="B19" s="24">
        <v>2766418</v>
      </c>
      <c r="C19" s="24">
        <v>2878835</v>
      </c>
      <c r="D19" s="24">
        <v>2349375</v>
      </c>
      <c r="E19" s="24">
        <v>3242907</v>
      </c>
      <c r="F19" s="24">
        <v>3116439</v>
      </c>
      <c r="G19" s="24">
        <v>3418598</v>
      </c>
      <c r="H19" s="24">
        <v>2820520</v>
      </c>
      <c r="I19" s="24">
        <v>2835078</v>
      </c>
      <c r="J19" s="24">
        <v>3427748</v>
      </c>
      <c r="K19" s="24">
        <v>3621587</v>
      </c>
      <c r="L19" s="24">
        <v>2855572</v>
      </c>
      <c r="M19" s="24">
        <v>3054430</v>
      </c>
      <c r="N19" s="24">
        <v>4086942</v>
      </c>
      <c r="O19" s="24">
        <v>3720198</v>
      </c>
      <c r="P19" s="24">
        <v>4549474</v>
      </c>
      <c r="Q19" s="24">
        <v>5017466</v>
      </c>
      <c r="R19" s="24">
        <v>2528464</v>
      </c>
      <c r="S19" s="24">
        <v>3115948</v>
      </c>
      <c r="T19" s="24">
        <v>4308537</v>
      </c>
      <c r="U19" s="24">
        <v>5656347</v>
      </c>
      <c r="V19" s="24">
        <v>5389573</v>
      </c>
    </row>
    <row r="20" spans="1:22" x14ac:dyDescent="0.2">
      <c r="A20" s="7" t="s">
        <v>4</v>
      </c>
      <c r="B20" s="24">
        <v>3533492</v>
      </c>
      <c r="C20" s="24">
        <v>3484241</v>
      </c>
      <c r="D20" s="24">
        <v>3797527</v>
      </c>
      <c r="E20" s="24">
        <v>3474696</v>
      </c>
      <c r="F20" s="24">
        <v>3785923</v>
      </c>
      <c r="G20" s="24">
        <v>4021520</v>
      </c>
      <c r="H20" s="24">
        <v>3830897</v>
      </c>
      <c r="I20" s="24">
        <v>3835725</v>
      </c>
      <c r="J20" s="24">
        <v>3385788</v>
      </c>
      <c r="K20" s="24">
        <v>3289338</v>
      </c>
      <c r="L20" s="24">
        <v>4012466</v>
      </c>
      <c r="M20" s="24">
        <v>4237125</v>
      </c>
      <c r="N20" s="24">
        <v>5156112</v>
      </c>
      <c r="O20" s="24">
        <v>5112880</v>
      </c>
      <c r="P20" s="24">
        <v>4930760</v>
      </c>
      <c r="Q20" s="24">
        <v>5228200</v>
      </c>
      <c r="R20" s="24">
        <v>2660917</v>
      </c>
      <c r="S20" s="24">
        <v>3095574</v>
      </c>
      <c r="T20" s="24">
        <v>4291677</v>
      </c>
      <c r="U20" s="24">
        <v>4862876</v>
      </c>
      <c r="V20" s="24">
        <v>4847699</v>
      </c>
    </row>
    <row r="21" spans="1:22" s="48" customFormat="1" x14ac:dyDescent="0.2">
      <c r="A21" s="49" t="s">
        <v>0</v>
      </c>
      <c r="B21" s="72">
        <v>48127305.883468449</v>
      </c>
      <c r="C21" s="72">
        <v>48896772.334882036</v>
      </c>
      <c r="D21" s="72">
        <v>49943027.823449396</v>
      </c>
      <c r="E21" s="72">
        <v>52757645.532453135</v>
      </c>
      <c r="F21" s="72">
        <v>51394756.934675366</v>
      </c>
      <c r="G21" s="72">
        <v>51798299.413512386</v>
      </c>
      <c r="H21" s="72">
        <v>49315557.101980858</v>
      </c>
      <c r="I21" s="72">
        <v>52807004.569304563</v>
      </c>
      <c r="J21" s="72">
        <v>52801851.754056811</v>
      </c>
      <c r="K21" s="72">
        <v>54570598.258094504</v>
      </c>
      <c r="L21" s="72">
        <v>55383886.110558845</v>
      </c>
      <c r="M21" s="72">
        <v>56534073.502227001</v>
      </c>
      <c r="N21" s="72">
        <v>63026691.788305476</v>
      </c>
      <c r="O21" s="72">
        <v>64050633.622874886</v>
      </c>
      <c r="P21" s="72">
        <v>65128245.898099259</v>
      </c>
      <c r="Q21" s="72">
        <v>67491519.891161278</v>
      </c>
      <c r="R21" s="72">
        <v>36752622.255959406</v>
      </c>
      <c r="S21" s="72">
        <v>51573886</v>
      </c>
      <c r="T21" s="72">
        <v>66666181.960434616</v>
      </c>
      <c r="U21" s="72">
        <v>71818999.344904393</v>
      </c>
      <c r="V21" s="72">
        <v>76462504.967203498</v>
      </c>
    </row>
  </sheetData>
  <phoneticPr fontId="21" type="noConversion"/>
  <hyperlinks>
    <hyperlink ref="A2" location="Sommaire!A1" display="Retour au menu &quot;Exploitation des films&quot;" xr:uid="{00000000-0004-0000-2300-000000000000}"/>
  </hyperlinks>
  <pageMargins left="0.78740157499999996" right="0.78740157499999996" top="0.984251969" bottom="0.984251969" header="0.4921259845" footer="0.492125984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V21"/>
  <sheetViews>
    <sheetView workbookViewId="0"/>
  </sheetViews>
  <sheetFormatPr baseColWidth="10" defaultColWidth="5.5703125" defaultRowHeight="12" x14ac:dyDescent="0.2"/>
  <cols>
    <col min="1" max="1" width="29.85546875" style="46" customWidth="1"/>
    <col min="2" max="2" width="6.42578125" style="46" bestFit="1" customWidth="1"/>
    <col min="3" max="16" width="6.42578125" style="47" bestFit="1" customWidth="1"/>
    <col min="17" max="20" width="6.42578125" style="46" bestFit="1" customWidth="1"/>
    <col min="21" max="22" width="6.5703125" style="46"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96</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4">
        <v>27945133</v>
      </c>
      <c r="C8" s="24">
        <v>32028710</v>
      </c>
      <c r="D8" s="24">
        <v>34102789</v>
      </c>
      <c r="E8" s="24">
        <v>39515413</v>
      </c>
      <c r="F8" s="24">
        <v>38169801</v>
      </c>
      <c r="G8" s="24">
        <v>39987203</v>
      </c>
      <c r="H8" s="24">
        <v>40200365</v>
      </c>
      <c r="I8" s="24">
        <v>42751479</v>
      </c>
      <c r="J8" s="24">
        <v>47779231</v>
      </c>
      <c r="K8" s="24">
        <v>39239648</v>
      </c>
      <c r="L8" s="24">
        <v>39556747</v>
      </c>
      <c r="M8" s="24">
        <v>39381291</v>
      </c>
      <c r="N8" s="24">
        <v>41259646</v>
      </c>
      <c r="O8" s="24">
        <v>43169835</v>
      </c>
      <c r="P8" s="24">
        <v>43217027</v>
      </c>
      <c r="Q8" s="24">
        <v>49310489</v>
      </c>
      <c r="R8" s="24">
        <v>27817867</v>
      </c>
      <c r="S8" s="24">
        <v>44470038</v>
      </c>
      <c r="T8" s="24">
        <v>50463049</v>
      </c>
      <c r="U8" s="24">
        <v>48844591</v>
      </c>
      <c r="V8" s="24">
        <v>58761519</v>
      </c>
    </row>
    <row r="9" spans="1:22" x14ac:dyDescent="0.2">
      <c r="A9" s="7" t="s">
        <v>73</v>
      </c>
      <c r="B9" s="24">
        <v>10860068</v>
      </c>
      <c r="C9" s="24">
        <v>11611333</v>
      </c>
      <c r="D9" s="24">
        <v>15199616</v>
      </c>
      <c r="E9" s="24">
        <v>20249180</v>
      </c>
      <c r="F9" s="24">
        <v>13562861</v>
      </c>
      <c r="G9" s="24">
        <v>10997905</v>
      </c>
      <c r="H9" s="24">
        <v>12640865</v>
      </c>
      <c r="I9" s="24">
        <v>13574280</v>
      </c>
      <c r="J9" s="24">
        <v>17484051</v>
      </c>
      <c r="K9" s="24">
        <v>21461219</v>
      </c>
      <c r="L9" s="24">
        <v>15401088</v>
      </c>
      <c r="M9" s="24">
        <v>16768074</v>
      </c>
      <c r="N9" s="24">
        <v>17975603</v>
      </c>
      <c r="O9" s="24">
        <v>20193843</v>
      </c>
      <c r="P9" s="24">
        <v>18886662</v>
      </c>
      <c r="Q9" s="24">
        <v>17955422</v>
      </c>
      <c r="R9" s="24">
        <v>10070132</v>
      </c>
      <c r="S9" s="24">
        <v>17086432</v>
      </c>
      <c r="T9" s="24">
        <v>25813632</v>
      </c>
      <c r="U9" s="24">
        <v>24275275</v>
      </c>
      <c r="V9" s="24">
        <v>28284183</v>
      </c>
    </row>
    <row r="10" spans="1:22" x14ac:dyDescent="0.2">
      <c r="A10" s="7" t="s">
        <v>1</v>
      </c>
      <c r="B10" s="24">
        <v>15481706</v>
      </c>
      <c r="C10" s="24">
        <v>15770710</v>
      </c>
      <c r="D10" s="24">
        <v>18149401</v>
      </c>
      <c r="E10" s="24">
        <v>15212649</v>
      </c>
      <c r="F10" s="24">
        <v>20467853</v>
      </c>
      <c r="G10" s="24">
        <v>19455383</v>
      </c>
      <c r="H10" s="24">
        <v>17815212</v>
      </c>
      <c r="I10" s="24">
        <v>19809462</v>
      </c>
      <c r="J10" s="24">
        <v>18347451</v>
      </c>
      <c r="K10" s="24">
        <v>19418932</v>
      </c>
      <c r="L10" s="24">
        <v>18557196</v>
      </c>
      <c r="M10" s="24">
        <v>16570571</v>
      </c>
      <c r="N10" s="24">
        <v>17641282</v>
      </c>
      <c r="O10" s="24">
        <v>18352897</v>
      </c>
      <c r="P10" s="24">
        <v>17161323</v>
      </c>
      <c r="Q10" s="24">
        <v>22266811</v>
      </c>
      <c r="R10" s="24">
        <v>12100685</v>
      </c>
      <c r="S10" s="24">
        <v>19537458</v>
      </c>
      <c r="T10" s="24">
        <v>29563937</v>
      </c>
      <c r="U10" s="24">
        <v>30343420</v>
      </c>
      <c r="V10" s="24">
        <v>29462128</v>
      </c>
    </row>
    <row r="11" spans="1:22" x14ac:dyDescent="0.2">
      <c r="A11" s="7" t="s">
        <v>74</v>
      </c>
      <c r="B11" s="24">
        <v>8175063</v>
      </c>
      <c r="C11" s="24">
        <v>10208355</v>
      </c>
      <c r="D11" s="24">
        <v>7360983</v>
      </c>
      <c r="E11" s="24">
        <v>12150877</v>
      </c>
      <c r="F11" s="24">
        <v>10877601</v>
      </c>
      <c r="G11" s="24">
        <v>13979183</v>
      </c>
      <c r="H11" s="24">
        <v>14717403</v>
      </c>
      <c r="I11" s="24">
        <v>13050076</v>
      </c>
      <c r="J11" s="24">
        <v>15140635</v>
      </c>
      <c r="K11" s="24">
        <v>16926158</v>
      </c>
      <c r="L11" s="24">
        <v>12164171</v>
      </c>
      <c r="M11" s="24">
        <v>11999035</v>
      </c>
      <c r="N11" s="24">
        <v>12544922</v>
      </c>
      <c r="O11" s="24">
        <v>12253561</v>
      </c>
      <c r="P11" s="24">
        <v>14475345</v>
      </c>
      <c r="Q11" s="24">
        <v>12342860</v>
      </c>
      <c r="R11" s="24">
        <v>11006669</v>
      </c>
      <c r="S11" s="24">
        <v>12490298</v>
      </c>
      <c r="T11" s="24">
        <v>13109683</v>
      </c>
      <c r="U11" s="24">
        <v>16686431</v>
      </c>
      <c r="V11" s="24">
        <v>18468496</v>
      </c>
    </row>
    <row r="12" spans="1:22" x14ac:dyDescent="0.2">
      <c r="A12" s="7" t="s">
        <v>5</v>
      </c>
      <c r="B12" s="24">
        <v>1310782</v>
      </c>
      <c r="C12" s="24">
        <v>700407</v>
      </c>
      <c r="D12" s="24">
        <v>739487</v>
      </c>
      <c r="E12" s="24">
        <v>674434</v>
      </c>
      <c r="F12" s="24">
        <v>672930</v>
      </c>
      <c r="G12" s="24">
        <v>771381</v>
      </c>
      <c r="H12" s="24">
        <v>825628</v>
      </c>
      <c r="I12" s="24">
        <v>657327</v>
      </c>
      <c r="J12" s="24">
        <v>0</v>
      </c>
      <c r="K12" s="24">
        <v>0</v>
      </c>
      <c r="L12" s="24">
        <v>1284983</v>
      </c>
      <c r="M12" s="24">
        <v>2790330</v>
      </c>
      <c r="N12" s="24">
        <v>3178010</v>
      </c>
      <c r="O12" s="24">
        <v>3193304</v>
      </c>
      <c r="P12" s="24">
        <v>2981842</v>
      </c>
      <c r="Q12" s="24">
        <v>3031300</v>
      </c>
      <c r="R12" s="24">
        <v>595012</v>
      </c>
      <c r="S12" s="24">
        <v>937738</v>
      </c>
      <c r="T12" s="24">
        <v>2871313</v>
      </c>
      <c r="U12" s="24">
        <v>3479866</v>
      </c>
      <c r="V12" s="24">
        <v>3249639</v>
      </c>
    </row>
    <row r="13" spans="1:22" x14ac:dyDescent="0.2">
      <c r="A13" s="7" t="s">
        <v>77</v>
      </c>
      <c r="B13" s="24">
        <v>25297400</v>
      </c>
      <c r="C13" s="24">
        <v>21906949</v>
      </c>
      <c r="D13" s="24">
        <v>25562238</v>
      </c>
      <c r="E13" s="24">
        <v>21956106</v>
      </c>
      <c r="F13" s="24">
        <v>25705692</v>
      </c>
      <c r="G13" s="24">
        <v>26955155</v>
      </c>
      <c r="H13" s="24">
        <v>27044916</v>
      </c>
      <c r="I13" s="24">
        <v>27787357</v>
      </c>
      <c r="J13" s="24">
        <v>28113887</v>
      </c>
      <c r="K13" s="24">
        <v>26698125</v>
      </c>
      <c r="L13" s="24">
        <v>30645908</v>
      </c>
      <c r="M13" s="24">
        <v>34329550</v>
      </c>
      <c r="N13" s="24">
        <v>32909718</v>
      </c>
      <c r="O13" s="24">
        <v>33710813</v>
      </c>
      <c r="P13" s="24">
        <v>32686027</v>
      </c>
      <c r="Q13" s="24">
        <v>31174802</v>
      </c>
      <c r="R13" s="24">
        <v>22750602</v>
      </c>
      <c r="S13" s="24">
        <v>35551455</v>
      </c>
      <c r="T13" s="24">
        <v>44333450</v>
      </c>
      <c r="U13" s="24">
        <v>45458824</v>
      </c>
      <c r="V13" s="24">
        <v>55874392</v>
      </c>
    </row>
    <row r="14" spans="1:22" x14ac:dyDescent="0.2">
      <c r="A14" s="7" t="s">
        <v>78</v>
      </c>
      <c r="B14" s="24">
        <v>19741960</v>
      </c>
      <c r="C14" s="24">
        <v>24835348</v>
      </c>
      <c r="D14" s="24">
        <v>23700750</v>
      </c>
      <c r="E14" s="24">
        <v>29212822</v>
      </c>
      <c r="F14" s="24">
        <v>19031516</v>
      </c>
      <c r="G14" s="24">
        <v>20056547</v>
      </c>
      <c r="H14" s="24">
        <v>20447540</v>
      </c>
      <c r="I14" s="24">
        <v>22893430</v>
      </c>
      <c r="J14" s="24">
        <v>21219400</v>
      </c>
      <c r="K14" s="24">
        <v>27417966</v>
      </c>
      <c r="L14" s="24">
        <v>26967988</v>
      </c>
      <c r="M14" s="24">
        <v>26477357</v>
      </c>
      <c r="N14" s="24">
        <v>29445411</v>
      </c>
      <c r="O14" s="24">
        <v>30174551</v>
      </c>
      <c r="P14" s="24">
        <v>33946053</v>
      </c>
      <c r="Q14" s="24">
        <v>32142084</v>
      </c>
      <c r="R14" s="24">
        <v>20719329</v>
      </c>
      <c r="S14" s="24">
        <v>30526815</v>
      </c>
      <c r="T14" s="24">
        <v>47805254</v>
      </c>
      <c r="U14" s="24">
        <v>50230629</v>
      </c>
      <c r="V14" s="24">
        <v>58954876</v>
      </c>
    </row>
    <row r="15" spans="1:22" x14ac:dyDescent="0.2">
      <c r="A15" s="7" t="s">
        <v>2</v>
      </c>
      <c r="B15" s="24">
        <v>61309608.773473427</v>
      </c>
      <c r="C15" s="24">
        <v>66386378.06929718</v>
      </c>
      <c r="D15" s="24">
        <v>57197284.807295375</v>
      </c>
      <c r="E15" s="24">
        <v>62249392.053739101</v>
      </c>
      <c r="F15" s="24">
        <v>61517581.955519147</v>
      </c>
      <c r="G15" s="24">
        <v>60268890.720284522</v>
      </c>
      <c r="H15" s="24">
        <v>57327852.163360819</v>
      </c>
      <c r="I15" s="24">
        <v>63953541.562962525</v>
      </c>
      <c r="J15" s="24">
        <v>57819998.198790699</v>
      </c>
      <c r="K15" s="24">
        <v>71943279.202610776</v>
      </c>
      <c r="L15" s="24">
        <v>65413770.262919754</v>
      </c>
      <c r="M15" s="24">
        <v>67738975.103793472</v>
      </c>
      <c r="N15" s="24">
        <v>76302066.272796884</v>
      </c>
      <c r="O15" s="24">
        <v>76389702.526516318</v>
      </c>
      <c r="P15" s="24">
        <v>75190466.068655163</v>
      </c>
      <c r="Q15" s="24">
        <v>76284984.538785324</v>
      </c>
      <c r="R15" s="24">
        <v>73867037.742444813</v>
      </c>
      <c r="S15" s="24">
        <v>90868382.069999993</v>
      </c>
      <c r="T15" s="24">
        <v>91170196.496438384</v>
      </c>
      <c r="U15" s="24">
        <v>83434402.808944836</v>
      </c>
      <c r="V15" s="24">
        <v>91089657.774503052</v>
      </c>
    </row>
    <row r="16" spans="1:22" x14ac:dyDescent="0.2">
      <c r="A16" s="7" t="s">
        <v>75</v>
      </c>
      <c r="B16" s="24">
        <v>12281434</v>
      </c>
      <c r="C16" s="24">
        <v>11314837</v>
      </c>
      <c r="D16" s="24">
        <v>16910185</v>
      </c>
      <c r="E16" s="24">
        <v>14515549</v>
      </c>
      <c r="F16" s="24">
        <v>15786490</v>
      </c>
      <c r="G16" s="24">
        <v>16961816</v>
      </c>
      <c r="H16" s="24">
        <v>12187458</v>
      </c>
      <c r="I16" s="24">
        <v>15599371</v>
      </c>
      <c r="J16" s="24">
        <v>14966448</v>
      </c>
      <c r="K16" s="24">
        <v>11379945</v>
      </c>
      <c r="L16" s="24">
        <v>14641624</v>
      </c>
      <c r="M16" s="24">
        <v>14803008</v>
      </c>
      <c r="N16" s="24">
        <v>18219407</v>
      </c>
      <c r="O16" s="24">
        <v>18321566</v>
      </c>
      <c r="P16" s="24">
        <v>18213696</v>
      </c>
      <c r="Q16" s="24">
        <v>21595486</v>
      </c>
      <c r="R16" s="24">
        <v>12110095</v>
      </c>
      <c r="S16" s="24">
        <v>17049676</v>
      </c>
      <c r="T16" s="24">
        <v>22496747</v>
      </c>
      <c r="U16" s="24">
        <v>22161056</v>
      </c>
      <c r="V16" s="24">
        <v>24475737</v>
      </c>
    </row>
    <row r="17" spans="1:22" x14ac:dyDescent="0.2">
      <c r="A17" s="7" t="s">
        <v>79</v>
      </c>
      <c r="B17" s="24">
        <v>27826640</v>
      </c>
      <c r="C17" s="24">
        <v>27501626</v>
      </c>
      <c r="D17" s="24">
        <v>33347871</v>
      </c>
      <c r="E17" s="24">
        <v>34330813</v>
      </c>
      <c r="F17" s="24">
        <v>35144999</v>
      </c>
      <c r="G17" s="24">
        <v>31604344</v>
      </c>
      <c r="H17" s="24">
        <v>33319059</v>
      </c>
      <c r="I17" s="24">
        <v>36758102</v>
      </c>
      <c r="J17" s="24">
        <v>37714649</v>
      </c>
      <c r="K17" s="24">
        <v>39282665</v>
      </c>
      <c r="L17" s="24">
        <v>41458686</v>
      </c>
      <c r="M17" s="24">
        <v>46837740</v>
      </c>
      <c r="N17" s="24">
        <v>54831874</v>
      </c>
      <c r="O17" s="24">
        <v>56556364</v>
      </c>
      <c r="P17" s="24">
        <v>56659793</v>
      </c>
      <c r="Q17" s="24">
        <v>59178629</v>
      </c>
      <c r="R17" s="24">
        <v>14953128</v>
      </c>
      <c r="S17" s="24">
        <v>36882741</v>
      </c>
      <c r="T17" s="24">
        <v>50235445</v>
      </c>
      <c r="U17" s="24">
        <v>65208480</v>
      </c>
      <c r="V17" s="24">
        <v>64106164</v>
      </c>
    </row>
    <row r="18" spans="1:22" x14ac:dyDescent="0.2">
      <c r="A18" s="7" t="s">
        <v>80</v>
      </c>
      <c r="B18" s="24">
        <v>22095403</v>
      </c>
      <c r="C18" s="24">
        <v>18528226</v>
      </c>
      <c r="D18" s="24">
        <v>18161730</v>
      </c>
      <c r="E18" s="24">
        <v>15839236</v>
      </c>
      <c r="F18" s="24">
        <v>20057862</v>
      </c>
      <c r="G18" s="24">
        <v>23969758</v>
      </c>
      <c r="H18" s="24">
        <v>26675028</v>
      </c>
      <c r="I18" s="24">
        <v>30284369</v>
      </c>
      <c r="J18" s="24">
        <v>30097211</v>
      </c>
      <c r="K18" s="24">
        <v>27406294</v>
      </c>
      <c r="L18" s="24">
        <v>31619104</v>
      </c>
      <c r="M18" s="24">
        <v>31137307</v>
      </c>
      <c r="N18" s="24">
        <v>33833556</v>
      </c>
      <c r="O18" s="24">
        <v>38342080</v>
      </c>
      <c r="P18" s="24">
        <v>42776687</v>
      </c>
      <c r="Q18" s="24">
        <v>43274299</v>
      </c>
      <c r="R18" s="24">
        <v>17770737</v>
      </c>
      <c r="S18" s="24">
        <v>25909991</v>
      </c>
      <c r="T18" s="24">
        <v>37468826</v>
      </c>
      <c r="U18" s="24">
        <v>46738445</v>
      </c>
      <c r="V18" s="24">
        <v>50482129</v>
      </c>
    </row>
    <row r="19" spans="1:22" x14ac:dyDescent="0.2">
      <c r="A19" s="7" t="s">
        <v>3</v>
      </c>
      <c r="B19" s="24">
        <v>15608172</v>
      </c>
      <c r="C19" s="24">
        <v>16511052</v>
      </c>
      <c r="D19" s="24">
        <v>13592517</v>
      </c>
      <c r="E19" s="24">
        <v>19029806</v>
      </c>
      <c r="F19" s="24">
        <v>18279980</v>
      </c>
      <c r="G19" s="24">
        <v>20031426</v>
      </c>
      <c r="H19" s="24">
        <v>17235545</v>
      </c>
      <c r="I19" s="24">
        <v>17052559</v>
      </c>
      <c r="J19" s="24">
        <v>20934419</v>
      </c>
      <c r="K19" s="24">
        <v>22119122</v>
      </c>
      <c r="L19" s="24">
        <v>17196290</v>
      </c>
      <c r="M19" s="24">
        <v>18321720</v>
      </c>
      <c r="N19" s="24">
        <v>25013082</v>
      </c>
      <c r="O19" s="24">
        <v>22907334</v>
      </c>
      <c r="P19" s="24">
        <v>28158973</v>
      </c>
      <c r="Q19" s="24">
        <v>31672677</v>
      </c>
      <c r="R19" s="24">
        <v>16711795</v>
      </c>
      <c r="S19" s="24">
        <v>21135598</v>
      </c>
      <c r="T19" s="24">
        <v>29623603</v>
      </c>
      <c r="U19" s="24">
        <v>38402707</v>
      </c>
      <c r="V19" s="24">
        <v>37116554</v>
      </c>
    </row>
    <row r="20" spans="1:22" x14ac:dyDescent="0.2">
      <c r="A20" s="7" t="s">
        <v>4</v>
      </c>
      <c r="B20" s="24">
        <v>19267105</v>
      </c>
      <c r="C20" s="24">
        <v>19944352</v>
      </c>
      <c r="D20" s="24">
        <v>22050850</v>
      </c>
      <c r="E20" s="24">
        <v>20298718</v>
      </c>
      <c r="F20" s="24">
        <v>22260351</v>
      </c>
      <c r="G20" s="24">
        <v>24095674</v>
      </c>
      <c r="H20" s="24">
        <v>23644236</v>
      </c>
      <c r="I20" s="24">
        <v>24212205</v>
      </c>
      <c r="J20" s="24">
        <v>21566715</v>
      </c>
      <c r="K20" s="24">
        <v>20979573</v>
      </c>
      <c r="L20" s="24">
        <v>24676918</v>
      </c>
      <c r="M20" s="24">
        <v>26763701</v>
      </c>
      <c r="N20" s="24">
        <v>32565240</v>
      </c>
      <c r="O20" s="24">
        <v>32433506</v>
      </c>
      <c r="P20" s="24">
        <v>31593950</v>
      </c>
      <c r="Q20" s="24">
        <v>33837560</v>
      </c>
      <c r="R20" s="24">
        <v>19793595</v>
      </c>
      <c r="S20" s="24">
        <v>23346957</v>
      </c>
      <c r="T20" s="24">
        <v>31767361</v>
      </c>
      <c r="U20" s="24">
        <v>34995139</v>
      </c>
      <c r="V20" s="24">
        <v>35992929</v>
      </c>
    </row>
    <row r="21" spans="1:22" s="48" customFormat="1" x14ac:dyDescent="0.2">
      <c r="A21" s="49" t="s">
        <v>0</v>
      </c>
      <c r="B21" s="72">
        <v>267200474.77347344</v>
      </c>
      <c r="C21" s="72">
        <v>277248283.06929719</v>
      </c>
      <c r="D21" s="72">
        <v>286075701.80729538</v>
      </c>
      <c r="E21" s="72">
        <v>305234995.05373907</v>
      </c>
      <c r="F21" s="72">
        <v>301535517.95551914</v>
      </c>
      <c r="G21" s="72">
        <v>309134665.72028452</v>
      </c>
      <c r="H21" s="72">
        <v>304081107.16336083</v>
      </c>
      <c r="I21" s="72">
        <v>328383558.56296253</v>
      </c>
      <c r="J21" s="72">
        <v>331184095.19879067</v>
      </c>
      <c r="K21" s="72">
        <v>344272926.20261079</v>
      </c>
      <c r="L21" s="72">
        <v>339584473.26291978</v>
      </c>
      <c r="M21" s="72">
        <v>353918659.1037935</v>
      </c>
      <c r="N21" s="72">
        <v>395719817.27279687</v>
      </c>
      <c r="O21" s="72">
        <v>405999356.52651632</v>
      </c>
      <c r="P21" s="72">
        <v>415947844.06865513</v>
      </c>
      <c r="Q21" s="72">
        <v>434067403.53878534</v>
      </c>
      <c r="R21" s="72">
        <v>260266683.74244481</v>
      </c>
      <c r="S21" s="72">
        <v>375793579.06999999</v>
      </c>
      <c r="T21" s="72">
        <v>476722496.49643838</v>
      </c>
      <c r="U21" s="72">
        <v>510259265.80894482</v>
      </c>
      <c r="V21" s="72">
        <v>556318403.77450299</v>
      </c>
    </row>
  </sheetData>
  <phoneticPr fontId="21" type="noConversion"/>
  <hyperlinks>
    <hyperlink ref="A2" location="Sommaire!A1" display="Retour au menu &quot;Exploitation des films&quot;" xr:uid="{00000000-0004-0000-2400-000000000000}"/>
  </hyperlinks>
  <pageMargins left="0.78740157499999996" right="0.78740157499999996" top="0.984251969" bottom="0.984251969" header="0.4921259845" footer="0.492125984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95</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3">
        <v>5.4360232037039093</v>
      </c>
      <c r="C8" s="73">
        <v>5.647669946961253</v>
      </c>
      <c r="D8" s="73">
        <v>5.683984790833966</v>
      </c>
      <c r="E8" s="73">
        <v>5.8419243391849536</v>
      </c>
      <c r="F8" s="73">
        <v>5.928478137593908</v>
      </c>
      <c r="G8" s="73">
        <v>6.1056668796699443</v>
      </c>
      <c r="H8" s="73">
        <v>6.2227923644863816</v>
      </c>
      <c r="I8" s="73">
        <v>6.3191214433999985</v>
      </c>
      <c r="J8" s="73">
        <v>6.4106116516955858</v>
      </c>
      <c r="K8" s="73">
        <v>6.3602154258651407</v>
      </c>
      <c r="L8" s="73">
        <v>6.1577607631518934</v>
      </c>
      <c r="M8" s="73">
        <v>6.3033201306207429</v>
      </c>
      <c r="N8" s="73">
        <v>6.2428785031004344</v>
      </c>
      <c r="O8" s="73">
        <v>6.3092099032613351</v>
      </c>
      <c r="P8" s="73">
        <v>6.3904015834854278</v>
      </c>
      <c r="Q8" s="73">
        <v>6.4318378686840694</v>
      </c>
      <c r="R8" s="73">
        <v>7.2125965653273596</v>
      </c>
      <c r="S8" s="73">
        <v>7.4213677801100841</v>
      </c>
      <c r="T8" s="73">
        <v>7.3860019861670851</v>
      </c>
      <c r="U8" s="73">
        <v>7.0270118901288106</v>
      </c>
      <c r="V8" s="73">
        <v>7.2209498228234121</v>
      </c>
    </row>
    <row r="9" spans="1:22" x14ac:dyDescent="0.2">
      <c r="A9" s="7" t="s">
        <v>73</v>
      </c>
      <c r="B9" s="73">
        <v>5.5359223548422447</v>
      </c>
      <c r="C9" s="73">
        <v>5.6829683713777683</v>
      </c>
      <c r="D9" s="73">
        <v>5.7360613019301203</v>
      </c>
      <c r="E9" s="73">
        <v>5.7323071191626473</v>
      </c>
      <c r="F9" s="73">
        <v>5.8998947726039885</v>
      </c>
      <c r="G9" s="73">
        <v>5.9903335726292006</v>
      </c>
      <c r="H9" s="73">
        <v>6.2348406081315701</v>
      </c>
      <c r="I9" s="73">
        <v>6.309313598581805</v>
      </c>
      <c r="J9" s="73">
        <v>6.3239564182147063</v>
      </c>
      <c r="K9" s="73">
        <v>6.3343979594125699</v>
      </c>
      <c r="L9" s="73">
        <v>6.3082604521310586</v>
      </c>
      <c r="M9" s="73">
        <v>6.4943902473031825</v>
      </c>
      <c r="N9" s="73">
        <v>6.4610172013645499</v>
      </c>
      <c r="O9" s="73">
        <v>6.410560650648077</v>
      </c>
      <c r="P9" s="73">
        <v>6.3656096561356579</v>
      </c>
      <c r="Q9" s="73">
        <v>6.4950919890322156</v>
      </c>
      <c r="R9" s="73">
        <v>6.5532639316855592</v>
      </c>
      <c r="S9" s="73">
        <v>6.8038303728433442</v>
      </c>
      <c r="T9" s="73">
        <v>6.9568809530097955</v>
      </c>
      <c r="U9" s="73">
        <v>7.275520152587883</v>
      </c>
      <c r="V9" s="73">
        <v>7.5464272764601494</v>
      </c>
    </row>
    <row r="10" spans="1:22" x14ac:dyDescent="0.2">
      <c r="A10" s="7" t="s">
        <v>1</v>
      </c>
      <c r="B10" s="73">
        <v>5.6365242933640518</v>
      </c>
      <c r="C10" s="73">
        <v>5.6759900593666712</v>
      </c>
      <c r="D10" s="73">
        <v>5.6808303989232671</v>
      </c>
      <c r="E10" s="73">
        <v>5.7446153137388327</v>
      </c>
      <c r="F10" s="73">
        <v>5.7831291225363675</v>
      </c>
      <c r="G10" s="73">
        <v>5.7597879681863464</v>
      </c>
      <c r="H10" s="73">
        <v>6.0367895843830803</v>
      </c>
      <c r="I10" s="73">
        <v>6.1408769695669587</v>
      </c>
      <c r="J10" s="73">
        <v>6.1068277495526582</v>
      </c>
      <c r="K10" s="73">
        <v>5.9370969423492079</v>
      </c>
      <c r="L10" s="73">
        <v>5.9020800024426094</v>
      </c>
      <c r="M10" s="73">
        <v>5.8655559661657222</v>
      </c>
      <c r="N10" s="73">
        <v>5.8927510400083376</v>
      </c>
      <c r="O10" s="73">
        <v>5.9647886019344964</v>
      </c>
      <c r="P10" s="73">
        <v>5.9925109862961561</v>
      </c>
      <c r="Q10" s="73">
        <v>6.119782701483607</v>
      </c>
      <c r="R10" s="73">
        <v>6.9154832906235928</v>
      </c>
      <c r="S10" s="73">
        <v>7.0990290796477344</v>
      </c>
      <c r="T10" s="73">
        <v>6.9525004738641023</v>
      </c>
      <c r="U10" s="73">
        <v>6.8407332601843631</v>
      </c>
      <c r="V10" s="73">
        <v>6.9443747673884983</v>
      </c>
    </row>
    <row r="11" spans="1:22" x14ac:dyDescent="0.2">
      <c r="A11" s="7" t="s">
        <v>74</v>
      </c>
      <c r="B11" s="73">
        <v>5.6102713497488264</v>
      </c>
      <c r="C11" s="73">
        <v>5.9159972669599448</v>
      </c>
      <c r="D11" s="73">
        <v>6.0797940744790946</v>
      </c>
      <c r="E11" s="73">
        <v>5.8874920900105918</v>
      </c>
      <c r="F11" s="73">
        <v>6.4641812509285392</v>
      </c>
      <c r="G11" s="73">
        <v>6.2610663425173643</v>
      </c>
      <c r="H11" s="73">
        <v>6.5231742083493636</v>
      </c>
      <c r="I11" s="73">
        <v>6.3822573301387999</v>
      </c>
      <c r="J11" s="73">
        <v>6.6564764711778741</v>
      </c>
      <c r="K11" s="73">
        <v>6.5914294303836902</v>
      </c>
      <c r="L11" s="73">
        <v>6.3510890523571115</v>
      </c>
      <c r="M11" s="73">
        <v>6.5499204120667969</v>
      </c>
      <c r="N11" s="73">
        <v>6.5854544805516593</v>
      </c>
      <c r="O11" s="73">
        <v>6.6672076870968535</v>
      </c>
      <c r="P11" s="73">
        <v>6.7422455544159607</v>
      </c>
      <c r="Q11" s="73">
        <v>6.7422527125270326</v>
      </c>
      <c r="R11" s="73">
        <v>7.2179990451782814</v>
      </c>
      <c r="S11" s="73">
        <v>7.6615609214509384</v>
      </c>
      <c r="T11" s="73">
        <v>7.2594631411365684</v>
      </c>
      <c r="U11" s="73">
        <v>7.230991403723392</v>
      </c>
      <c r="V11" s="73">
        <v>7.3174436388129482</v>
      </c>
    </row>
    <row r="12" spans="1:22" x14ac:dyDescent="0.2">
      <c r="A12" s="7" t="s">
        <v>5</v>
      </c>
      <c r="B12" s="73">
        <v>6.5063485917939863</v>
      </c>
      <c r="C12" s="73">
        <v>6.2374833021640397</v>
      </c>
      <c r="D12" s="73">
        <v>6.2434524915148346</v>
      </c>
      <c r="E12" s="73">
        <v>6.2898364202712029</v>
      </c>
      <c r="F12" s="73">
        <v>6.2776834524320391</v>
      </c>
      <c r="G12" s="73">
        <v>6.4428862569533765</v>
      </c>
      <c r="H12" s="73">
        <v>6.8189761971621596</v>
      </c>
      <c r="I12" s="73">
        <v>6.9479742513767482</v>
      </c>
      <c r="J12" s="73" t="e">
        <v>#DIV/0!</v>
      </c>
      <c r="K12" s="73" t="e">
        <v>#DIV/0!</v>
      </c>
      <c r="L12" s="73">
        <v>7.0640334240400211</v>
      </c>
      <c r="M12" s="73">
        <v>6.8137763636319235</v>
      </c>
      <c r="N12" s="73">
        <v>7.0054381250702633</v>
      </c>
      <c r="O12" s="73">
        <v>6.8852368528860044</v>
      </c>
      <c r="P12" s="73">
        <v>6.7914999259773836</v>
      </c>
      <c r="Q12" s="73">
        <v>6.7286263506974349</v>
      </c>
      <c r="R12" s="73">
        <v>6.4279062732939387</v>
      </c>
      <c r="S12" s="73">
        <v>6.6748619099140143</v>
      </c>
      <c r="T12" s="73">
        <v>6.8858078131370055</v>
      </c>
      <c r="U12" s="73">
        <v>6.9674658871347193</v>
      </c>
      <c r="V12" s="73">
        <v>6.9004714076402012</v>
      </c>
    </row>
    <row r="13" spans="1:22" x14ac:dyDescent="0.2">
      <c r="A13" s="7" t="s">
        <v>77</v>
      </c>
      <c r="B13" s="73">
        <v>5.7475842329151403</v>
      </c>
      <c r="C13" s="73">
        <v>5.8042154381839151</v>
      </c>
      <c r="D13" s="73">
        <v>5.895288909593881</v>
      </c>
      <c r="E13" s="73">
        <v>5.8608850011077864</v>
      </c>
      <c r="F13" s="73">
        <v>5.9048993380166968</v>
      </c>
      <c r="G13" s="73">
        <v>6.0170335425089645</v>
      </c>
      <c r="H13" s="73">
        <v>6.230726272942829</v>
      </c>
      <c r="I13" s="73">
        <v>6.3557046903111916</v>
      </c>
      <c r="J13" s="73">
        <v>6.3679353663514169</v>
      </c>
      <c r="K13" s="73">
        <v>6.3661122116807052</v>
      </c>
      <c r="L13" s="73">
        <v>6.2534527137078886</v>
      </c>
      <c r="M13" s="73">
        <v>6.2760779209145312</v>
      </c>
      <c r="N13" s="73">
        <v>6.348321557684284</v>
      </c>
      <c r="O13" s="73">
        <v>6.270683688933226</v>
      </c>
      <c r="P13" s="73">
        <v>6.4875908998344265</v>
      </c>
      <c r="Q13" s="73">
        <v>6.5822115526728062</v>
      </c>
      <c r="R13" s="73">
        <v>6.9759325961833003</v>
      </c>
      <c r="S13" s="73">
        <v>7.3812937227728614</v>
      </c>
      <c r="T13" s="73">
        <v>7.4088368697066995</v>
      </c>
      <c r="U13" s="73">
        <v>7.4848042687868341</v>
      </c>
      <c r="V13" s="73">
        <v>7.7105594898044938</v>
      </c>
    </row>
    <row r="14" spans="1:22" x14ac:dyDescent="0.2">
      <c r="A14" s="7" t="s">
        <v>78</v>
      </c>
      <c r="B14" s="73">
        <v>5.6544748548356285</v>
      </c>
      <c r="C14" s="73">
        <v>5.8126143314803134</v>
      </c>
      <c r="D14" s="73">
        <v>5.8038464816090007</v>
      </c>
      <c r="E14" s="73">
        <v>5.8798804734366179</v>
      </c>
      <c r="F14" s="73">
        <v>5.8543667697789852</v>
      </c>
      <c r="G14" s="73">
        <v>6.0043699340633019</v>
      </c>
      <c r="H14" s="73">
        <v>6.2215118601759212</v>
      </c>
      <c r="I14" s="73">
        <v>6.2167245295725388</v>
      </c>
      <c r="J14" s="73">
        <v>6.2089308720458831</v>
      </c>
      <c r="K14" s="73">
        <v>6.2633201943098245</v>
      </c>
      <c r="L14" s="73">
        <v>6.0492083850930287</v>
      </c>
      <c r="M14" s="73">
        <v>6.0609818992499243</v>
      </c>
      <c r="N14" s="73">
        <v>6.0629831066584199</v>
      </c>
      <c r="O14" s="73">
        <v>6.1092858680143811</v>
      </c>
      <c r="P14" s="73">
        <v>6.226812378177832</v>
      </c>
      <c r="Q14" s="73">
        <v>6.2529526944412828</v>
      </c>
      <c r="R14" s="73">
        <v>6.8738700212592594</v>
      </c>
      <c r="S14" s="73">
        <v>7.1402960783685403</v>
      </c>
      <c r="T14" s="73">
        <v>7.1635647195150769</v>
      </c>
      <c r="U14" s="73">
        <v>7.1513781001433818</v>
      </c>
      <c r="V14" s="73">
        <v>7.4105165827862214</v>
      </c>
    </row>
    <row r="15" spans="1:22" x14ac:dyDescent="0.2">
      <c r="A15" s="7" t="s">
        <v>2</v>
      </c>
      <c r="B15" s="73">
        <v>5.7599737097653847</v>
      </c>
      <c r="C15" s="73">
        <v>5.8087013937940917</v>
      </c>
      <c r="D15" s="73">
        <v>5.899258354686121</v>
      </c>
      <c r="E15" s="73">
        <v>5.8959032697198026</v>
      </c>
      <c r="F15" s="73">
        <v>6.0681207204891177</v>
      </c>
      <c r="G15" s="73">
        <v>6.0260879557529305</v>
      </c>
      <c r="H15" s="73">
        <v>6.1649334236068718</v>
      </c>
      <c r="I15" s="73">
        <v>6.1878163016099403</v>
      </c>
      <c r="J15" s="73">
        <v>6.3280180777669459</v>
      </c>
      <c r="K15" s="73">
        <v>6.4712159622194561</v>
      </c>
      <c r="L15" s="73">
        <v>6.1662942293638192</v>
      </c>
      <c r="M15" s="73">
        <v>6.3426686634110778</v>
      </c>
      <c r="N15" s="73">
        <v>6.3888542905338017</v>
      </c>
      <c r="O15" s="73">
        <v>6.442638824997573</v>
      </c>
      <c r="P15" s="73">
        <v>6.474924889826621</v>
      </c>
      <c r="Q15" s="73">
        <v>6.4557102934106769</v>
      </c>
      <c r="R15" s="73">
        <v>7.2693973235670155</v>
      </c>
      <c r="S15" s="73">
        <v>7.6095842833619463</v>
      </c>
      <c r="T15" s="73">
        <v>7.3900511813906826</v>
      </c>
      <c r="U15" s="73">
        <v>7.2794882289927294</v>
      </c>
      <c r="V15" s="73">
        <v>7.4361927544796673</v>
      </c>
    </row>
    <row r="16" spans="1:22" x14ac:dyDescent="0.2">
      <c r="A16" s="7" t="s">
        <v>75</v>
      </c>
      <c r="B16" s="73">
        <v>5.3152759119740738</v>
      </c>
      <c r="C16" s="73">
        <v>5.2638117151853034</v>
      </c>
      <c r="D16" s="73">
        <v>5.5158485131672723</v>
      </c>
      <c r="E16" s="73">
        <v>5.5162690530199248</v>
      </c>
      <c r="F16" s="73">
        <v>5.474381377000336</v>
      </c>
      <c r="G16" s="73">
        <v>5.8603641328833493</v>
      </c>
      <c r="H16" s="73">
        <v>5.8367122925535506</v>
      </c>
      <c r="I16" s="73">
        <v>6.0312434876375791</v>
      </c>
      <c r="J16" s="73">
        <v>5.8888247098170368</v>
      </c>
      <c r="K16" s="73">
        <v>5.906002250311909</v>
      </c>
      <c r="L16" s="73">
        <v>5.8306472455437728</v>
      </c>
      <c r="M16" s="73">
        <v>5.9517427825659022</v>
      </c>
      <c r="N16" s="73">
        <v>5.9532199570713775</v>
      </c>
      <c r="O16" s="73">
        <v>6.0565338365027701</v>
      </c>
      <c r="P16" s="73">
        <v>6.0489918732128212</v>
      </c>
      <c r="Q16" s="73">
        <v>6.1409867159185749</v>
      </c>
      <c r="R16" s="73">
        <v>7.1887150524932357</v>
      </c>
      <c r="S16" s="73">
        <v>7.3429561623646746</v>
      </c>
      <c r="T16" s="73">
        <v>6.9037460232508829</v>
      </c>
      <c r="U16" s="73">
        <v>6.6831130966490129</v>
      </c>
      <c r="V16" s="73">
        <v>6.7832482785340975</v>
      </c>
    </row>
    <row r="17" spans="1:22" x14ac:dyDescent="0.2">
      <c r="A17" s="7" t="s">
        <v>79</v>
      </c>
      <c r="B17" s="73">
        <v>5.3543391932232014</v>
      </c>
      <c r="C17" s="73">
        <v>5.4605256130169648</v>
      </c>
      <c r="D17" s="73">
        <v>5.5686219928356397</v>
      </c>
      <c r="E17" s="73">
        <v>5.621488576842439</v>
      </c>
      <c r="F17" s="73">
        <v>5.7256700964753851</v>
      </c>
      <c r="G17" s="73">
        <v>5.8808221673544985</v>
      </c>
      <c r="H17" s="73">
        <v>6.1822721493762263</v>
      </c>
      <c r="I17" s="73">
        <v>6.2996959160061152</v>
      </c>
      <c r="J17" s="73">
        <v>6.2672384311335172</v>
      </c>
      <c r="K17" s="73">
        <v>6.3482949326331291</v>
      </c>
      <c r="L17" s="73">
        <v>6.2140805095167924</v>
      </c>
      <c r="M17" s="73">
        <v>6.3979271027302049</v>
      </c>
      <c r="N17" s="73">
        <v>6.3915835408419071</v>
      </c>
      <c r="O17" s="73">
        <v>6.4478127387374631</v>
      </c>
      <c r="P17" s="73">
        <v>6.4145596998889847</v>
      </c>
      <c r="Q17" s="73">
        <v>6.4263036940808771</v>
      </c>
      <c r="R17" s="73">
        <v>6.8131318769190674</v>
      </c>
      <c r="S17" s="73">
        <v>6.9368556073294245</v>
      </c>
      <c r="T17" s="73">
        <v>6.8985211602211463</v>
      </c>
      <c r="U17" s="73">
        <v>7.0553805644782255</v>
      </c>
      <c r="V17" s="73">
        <v>7.1577766175578006</v>
      </c>
    </row>
    <row r="18" spans="1:22" x14ac:dyDescent="0.2">
      <c r="A18" s="7" t="s">
        <v>80</v>
      </c>
      <c r="B18" s="73">
        <v>5.1683436480004641</v>
      </c>
      <c r="C18" s="73">
        <v>5.2320629376059822</v>
      </c>
      <c r="D18" s="73">
        <v>5.2599350737928132</v>
      </c>
      <c r="E18" s="73">
        <v>5.4370407341182867</v>
      </c>
      <c r="F18" s="73">
        <v>5.4769710596146925</v>
      </c>
      <c r="G18" s="73">
        <v>5.7718397834755644</v>
      </c>
      <c r="H18" s="73">
        <v>6.0018819001881898</v>
      </c>
      <c r="I18" s="73">
        <v>6.0054443754574578</v>
      </c>
      <c r="J18" s="73">
        <v>6.0648252876273148</v>
      </c>
      <c r="K18" s="73">
        <v>6.1450660398046049</v>
      </c>
      <c r="L18" s="73">
        <v>6.0120674473449087</v>
      </c>
      <c r="M18" s="73">
        <v>6.2024728772720463</v>
      </c>
      <c r="N18" s="73">
        <v>6.2454612562745702</v>
      </c>
      <c r="O18" s="73">
        <v>6.5228618669241643</v>
      </c>
      <c r="P18" s="73">
        <v>6.5588387043159058</v>
      </c>
      <c r="Q18" s="73">
        <v>6.6817724779084902</v>
      </c>
      <c r="R18" s="73">
        <v>7.1476123862140861</v>
      </c>
      <c r="S18" s="73">
        <v>7.0711605713477894</v>
      </c>
      <c r="T18" s="73">
        <v>6.7961610191042139</v>
      </c>
      <c r="U18" s="73">
        <v>7.0260744584225652</v>
      </c>
      <c r="V18" s="73">
        <v>7.1240247744165721</v>
      </c>
    </row>
    <row r="19" spans="1:22" x14ac:dyDescent="0.2">
      <c r="A19" s="7" t="s">
        <v>3</v>
      </c>
      <c r="B19" s="73">
        <v>5.6420150534011855</v>
      </c>
      <c r="C19" s="73">
        <v>5.7353241849567622</v>
      </c>
      <c r="D19" s="73">
        <v>5.7855885075818039</v>
      </c>
      <c r="E19" s="73">
        <v>5.8681318952409054</v>
      </c>
      <c r="F19" s="73">
        <v>5.8656627002806729</v>
      </c>
      <c r="G19" s="73">
        <v>5.8595441757117976</v>
      </c>
      <c r="H19" s="73">
        <v>6.1107685816799737</v>
      </c>
      <c r="I19" s="73">
        <v>6.0148465051049742</v>
      </c>
      <c r="J19" s="73">
        <v>6.1073389875801842</v>
      </c>
      <c r="K19" s="73">
        <v>6.1075771478084055</v>
      </c>
      <c r="L19" s="73">
        <v>6.0220124024188495</v>
      </c>
      <c r="M19" s="73">
        <v>5.9984088684304435</v>
      </c>
      <c r="N19" s="73">
        <v>6.1202439378880342</v>
      </c>
      <c r="O19" s="73">
        <v>6.1575577428943298</v>
      </c>
      <c r="P19" s="73">
        <v>6.1895008082253025</v>
      </c>
      <c r="Q19" s="73">
        <v>6.3124846286950422</v>
      </c>
      <c r="R19" s="73">
        <v>6.609465272196875</v>
      </c>
      <c r="S19" s="73">
        <v>6.7830393831989495</v>
      </c>
      <c r="T19" s="73">
        <v>6.8755596157117838</v>
      </c>
      <c r="U19" s="73">
        <v>6.7893124307967669</v>
      </c>
      <c r="V19" s="73">
        <v>6.8867336985694418</v>
      </c>
    </row>
    <row r="20" spans="1:22" x14ac:dyDescent="0.2">
      <c r="A20" s="7" t="s">
        <v>4</v>
      </c>
      <c r="B20" s="73">
        <v>5.4527093877671158</v>
      </c>
      <c r="C20" s="73">
        <v>5.7241597237389721</v>
      </c>
      <c r="D20" s="73">
        <v>5.806634159546463</v>
      </c>
      <c r="E20" s="73">
        <v>5.8418687562883198</v>
      </c>
      <c r="F20" s="73">
        <v>5.8797685531375041</v>
      </c>
      <c r="G20" s="73">
        <v>5.9916832441464916</v>
      </c>
      <c r="H20" s="73">
        <v>6.1719842637377091</v>
      </c>
      <c r="I20" s="73">
        <v>6.3122890718182347</v>
      </c>
      <c r="J20" s="73">
        <v>6.3697771390293783</v>
      </c>
      <c r="K20" s="73">
        <v>6.3780532739414433</v>
      </c>
      <c r="L20" s="73">
        <v>6.1500628291928203</v>
      </c>
      <c r="M20" s="73">
        <v>6.3164766203498832</v>
      </c>
      <c r="N20" s="73">
        <v>6.3158519442556713</v>
      </c>
      <c r="O20" s="73">
        <v>6.34349055718108</v>
      </c>
      <c r="P20" s="73">
        <v>6.4075213557342074</v>
      </c>
      <c r="Q20" s="73">
        <v>6.4721242492636089</v>
      </c>
      <c r="R20" s="73">
        <v>7.4386367556748292</v>
      </c>
      <c r="S20" s="73">
        <v>7.5420445448889284</v>
      </c>
      <c r="T20" s="73">
        <v>7.4020857114829468</v>
      </c>
      <c r="U20" s="73">
        <v>7.196387281929459</v>
      </c>
      <c r="V20" s="73">
        <v>7.424745018203482</v>
      </c>
    </row>
    <row r="21" spans="1:22" s="48" customFormat="1" x14ac:dyDescent="0.2">
      <c r="A21" s="49" t="s">
        <v>0</v>
      </c>
      <c r="B21" s="79">
        <v>5.551951638856556</v>
      </c>
      <c r="C21" s="79">
        <v>5.6700732958505213</v>
      </c>
      <c r="D21" s="79">
        <v>5.7280408151981588</v>
      </c>
      <c r="E21" s="79">
        <v>5.7856068437697434</v>
      </c>
      <c r="F21" s="79">
        <v>5.8670482348769921</v>
      </c>
      <c r="G21" s="79">
        <v>5.9680466196857802</v>
      </c>
      <c r="H21" s="79">
        <v>6.1660280250823085</v>
      </c>
      <c r="I21" s="79">
        <v>6.2185606103066862</v>
      </c>
      <c r="J21" s="79">
        <v>6.2722060722680153</v>
      </c>
      <c r="K21" s="79">
        <v>6.3087621758213821</v>
      </c>
      <c r="L21" s="79">
        <v>6.1314670585778659</v>
      </c>
      <c r="M21" s="79">
        <v>6.2602716765111905</v>
      </c>
      <c r="N21" s="79">
        <v>6.2786068258499679</v>
      </c>
      <c r="O21" s="79">
        <v>6.338725061129117</v>
      </c>
      <c r="P21" s="79">
        <v>6.3865967574108184</v>
      </c>
      <c r="Q21" s="79">
        <v>6.4314361898913317</v>
      </c>
      <c r="R21" s="79">
        <v>7.0815813339752323</v>
      </c>
      <c r="S21" s="79">
        <v>7.2865088946371035</v>
      </c>
      <c r="T21" s="79">
        <v>7.1508894386567103</v>
      </c>
      <c r="U21" s="79">
        <v>7.1047949771406564</v>
      </c>
      <c r="V21" s="79">
        <v>7.2757020452458443</v>
      </c>
    </row>
  </sheetData>
  <phoneticPr fontId="21" type="noConversion"/>
  <hyperlinks>
    <hyperlink ref="A2" location="Sommaire!A1" display="Retour au menu &quot;Exploitation des films&quot;" xr:uid="{00000000-0004-0000-2500-000000000000}"/>
  </hyperlinks>
  <pageMargins left="0.78740157499999996" right="0.78740157499999996" top="0.984251969" bottom="0.984251969" header="0.4921259845" footer="0.4921259845"/>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94</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3">
        <v>0.69873176470876064</v>
      </c>
      <c r="C8" s="73">
        <v>0.68736838686015134</v>
      </c>
      <c r="D8" s="73">
        <v>0.72720424662438887</v>
      </c>
      <c r="E8" s="73">
        <v>0.81984171637472902</v>
      </c>
      <c r="F8" s="73">
        <v>0.78036195598185132</v>
      </c>
      <c r="G8" s="73">
        <v>0.79379313220304304</v>
      </c>
      <c r="H8" s="73">
        <v>0.78300421816552823</v>
      </c>
      <c r="I8" s="73">
        <v>0.82000000969637499</v>
      </c>
      <c r="J8" s="73">
        <v>0.90335635171951878</v>
      </c>
      <c r="K8" s="73">
        <v>0.74777801506962116</v>
      </c>
      <c r="L8" s="73">
        <v>0.77860497283439345</v>
      </c>
      <c r="M8" s="73">
        <v>0.75725125222622713</v>
      </c>
      <c r="N8" s="73">
        <v>0.80105074767535467</v>
      </c>
      <c r="O8" s="73">
        <v>0.82932513472507019</v>
      </c>
      <c r="P8" s="73">
        <v>0.81968342305308306</v>
      </c>
      <c r="Q8" s="73">
        <v>0.92923088596020653</v>
      </c>
      <c r="R8" s="73">
        <v>0.46746769228457019</v>
      </c>
      <c r="S8" s="73">
        <v>0.72627812160854133</v>
      </c>
      <c r="T8" s="73">
        <v>0.82810133099715344</v>
      </c>
      <c r="U8" s="73">
        <v>0.84249087268102096</v>
      </c>
      <c r="V8" s="73">
        <v>0.98632059657916737</v>
      </c>
    </row>
    <row r="9" spans="1:22" x14ac:dyDescent="0.2">
      <c r="A9" s="7" t="s">
        <v>73</v>
      </c>
      <c r="B9" s="73">
        <v>0.70580051312106917</v>
      </c>
      <c r="C9" s="73">
        <v>0.71081900804479814</v>
      </c>
      <c r="D9" s="73">
        <v>0.92187284737983943</v>
      </c>
      <c r="E9" s="73">
        <v>1.2289385903999577</v>
      </c>
      <c r="F9" s="73">
        <v>0.79975918486058328</v>
      </c>
      <c r="G9" s="73">
        <v>0.63872093136524999</v>
      </c>
      <c r="H9" s="73">
        <v>0.70534830872765275</v>
      </c>
      <c r="I9" s="73">
        <v>0.74849151337111974</v>
      </c>
      <c r="J9" s="73">
        <v>0.96184565565592028</v>
      </c>
      <c r="K9" s="73">
        <v>1.1786944354377464</v>
      </c>
      <c r="L9" s="73">
        <v>0.84936425081512545</v>
      </c>
      <c r="M9" s="73">
        <v>0.89824951537779663</v>
      </c>
      <c r="N9" s="73">
        <v>0.96790952141730946</v>
      </c>
      <c r="O9" s="73">
        <v>1.0959106653066166</v>
      </c>
      <c r="P9" s="73">
        <v>1.0322084160751237</v>
      </c>
      <c r="Q9" s="73">
        <v>0.96175067944519976</v>
      </c>
      <c r="R9" s="73">
        <v>0.53460091204994153</v>
      </c>
      <c r="S9" s="73">
        <v>0.87367537757392488</v>
      </c>
      <c r="T9" s="73">
        <v>1.2908825620893931</v>
      </c>
      <c r="U9" s="73">
        <v>1.1607863751929095</v>
      </c>
      <c r="V9" s="73">
        <v>1.3039304843717168</v>
      </c>
    </row>
    <row r="10" spans="1:22" x14ac:dyDescent="0.2">
      <c r="A10" s="7" t="s">
        <v>1</v>
      </c>
      <c r="B10" s="73">
        <v>0.88758953690604148</v>
      </c>
      <c r="C10" s="73">
        <v>0.80223587018567388</v>
      </c>
      <c r="D10" s="73">
        <v>0.92245020050880067</v>
      </c>
      <c r="E10" s="73">
        <v>0.76460362085199129</v>
      </c>
      <c r="F10" s="73">
        <v>1.0218846066005494</v>
      </c>
      <c r="G10" s="73">
        <v>0.97527197678376898</v>
      </c>
      <c r="H10" s="73">
        <v>0.85207419561886322</v>
      </c>
      <c r="I10" s="73">
        <v>0.93139679953941734</v>
      </c>
      <c r="J10" s="73">
        <v>0.86746612254467304</v>
      </c>
      <c r="K10" s="73">
        <v>0.94437320824764059</v>
      </c>
      <c r="L10" s="73">
        <v>0.90781994428081458</v>
      </c>
      <c r="M10" s="73">
        <v>0.81568175446427671</v>
      </c>
      <c r="N10" s="73">
        <v>0.8643795949632721</v>
      </c>
      <c r="O10" s="73">
        <v>0.88838665846287457</v>
      </c>
      <c r="P10" s="73">
        <v>0.82686457015700288</v>
      </c>
      <c r="Q10" s="73">
        <v>1.0505445599013004</v>
      </c>
      <c r="R10" s="73">
        <v>0.50521923440834382</v>
      </c>
      <c r="S10" s="73">
        <v>0.79462378289324576</v>
      </c>
      <c r="T10" s="73">
        <v>1.2277606159658074</v>
      </c>
      <c r="U10" s="73">
        <v>1.2807204053543313</v>
      </c>
      <c r="V10" s="73">
        <v>1.2249642623993089</v>
      </c>
    </row>
    <row r="11" spans="1:22" x14ac:dyDescent="0.2">
      <c r="A11" s="7" t="s">
        <v>74</v>
      </c>
      <c r="B11" s="73">
        <v>0.57833746830308541</v>
      </c>
      <c r="C11" s="73">
        <v>0.65543439905222167</v>
      </c>
      <c r="D11" s="73">
        <v>0.45988408023297905</v>
      </c>
      <c r="E11" s="73">
        <v>0.78393258892164386</v>
      </c>
      <c r="F11" s="73">
        <v>0.6391768397486518</v>
      </c>
      <c r="G11" s="73">
        <v>0.848076278078295</v>
      </c>
      <c r="H11" s="73">
        <v>0.85698582016900626</v>
      </c>
      <c r="I11" s="73">
        <v>0.77667649314406639</v>
      </c>
      <c r="J11" s="73">
        <v>0.86397488797549871</v>
      </c>
      <c r="K11" s="73">
        <v>0.97539430307408825</v>
      </c>
      <c r="L11" s="73">
        <v>0.72750460271897532</v>
      </c>
      <c r="M11" s="73">
        <v>0.6958437457149228</v>
      </c>
      <c r="N11" s="73">
        <v>0.72357515128103156</v>
      </c>
      <c r="O11" s="73">
        <v>0.69810341769214146</v>
      </c>
      <c r="P11" s="73">
        <v>0.81550342369362361</v>
      </c>
      <c r="Q11" s="73">
        <v>0.69536400698450973</v>
      </c>
      <c r="R11" s="73">
        <v>0.57921595573792972</v>
      </c>
      <c r="S11" s="73">
        <v>0.6192371052648572</v>
      </c>
      <c r="T11" s="73">
        <v>0.68594471875269447</v>
      </c>
      <c r="U11" s="73">
        <v>0.87653052038547752</v>
      </c>
      <c r="V11" s="73">
        <v>0.95867979547860493</v>
      </c>
    </row>
    <row r="12" spans="1:22" x14ac:dyDescent="0.2">
      <c r="A12" s="7" t="s">
        <v>5</v>
      </c>
      <c r="B12" s="73">
        <v>0.68496997803602633</v>
      </c>
      <c r="C12" s="73">
        <v>0.32196926253010666</v>
      </c>
      <c r="D12" s="73">
        <v>0.33960890010322287</v>
      </c>
      <c r="E12" s="73">
        <v>0.30744924876706042</v>
      </c>
      <c r="F12" s="73">
        <v>0.3073574951255878</v>
      </c>
      <c r="G12" s="73">
        <v>0.34329051496731278</v>
      </c>
      <c r="H12" s="73">
        <v>0.34716710631953207</v>
      </c>
      <c r="I12" s="73">
        <v>0.27126677371258173</v>
      </c>
      <c r="J12" s="73">
        <v>0</v>
      </c>
      <c r="K12" s="73">
        <v>0</v>
      </c>
      <c r="L12" s="73">
        <v>0.52157644225255195</v>
      </c>
      <c r="M12" s="73">
        <v>1.1741971556371142</v>
      </c>
      <c r="N12" s="73">
        <v>1.3007483656382612</v>
      </c>
      <c r="O12" s="73">
        <v>1.329825668081202</v>
      </c>
      <c r="P12" s="73">
        <v>1.2589029705241426</v>
      </c>
      <c r="Q12" s="73">
        <v>1.2917421722674618</v>
      </c>
      <c r="R12" s="73">
        <v>0.26541747906870056</v>
      </c>
      <c r="S12" s="73">
        <v>0.40282142447528385</v>
      </c>
      <c r="T12" s="73">
        <v>1.1956359674274573</v>
      </c>
      <c r="U12" s="73">
        <v>1.4320592957908016</v>
      </c>
      <c r="V12" s="73">
        <v>1.350298199334786</v>
      </c>
    </row>
    <row r="13" spans="1:22" x14ac:dyDescent="0.2">
      <c r="A13" s="7" t="s">
        <v>77</v>
      </c>
      <c r="B13" s="73">
        <v>0.80170625443872234</v>
      </c>
      <c r="C13" s="73">
        <v>0.66584146189145188</v>
      </c>
      <c r="D13" s="73">
        <v>0.76493801173222087</v>
      </c>
      <c r="E13" s="73">
        <v>0.66088300027591107</v>
      </c>
      <c r="F13" s="73">
        <v>0.76797885575211189</v>
      </c>
      <c r="G13" s="73">
        <v>0.7902997834344655</v>
      </c>
      <c r="H13" s="73">
        <v>0.76573663683392335</v>
      </c>
      <c r="I13" s="73">
        <v>0.77128696662181051</v>
      </c>
      <c r="J13" s="73">
        <v>0.77885158874706006</v>
      </c>
      <c r="K13" s="73">
        <v>0.73984191915592368</v>
      </c>
      <c r="L13" s="73">
        <v>0.86453998700183399</v>
      </c>
      <c r="M13" s="73">
        <v>0.96496652019620033</v>
      </c>
      <c r="N13" s="73">
        <v>0.9145294727416039</v>
      </c>
      <c r="O13" s="73">
        <v>0.94838962461268361</v>
      </c>
      <c r="P13" s="73">
        <v>0.88881452068733624</v>
      </c>
      <c r="Q13" s="73">
        <v>0.83553438904033028</v>
      </c>
      <c r="R13" s="73">
        <v>0.57533802640984588</v>
      </c>
      <c r="S13" s="73">
        <v>0.84968383125529678</v>
      </c>
      <c r="T13" s="73">
        <v>1.0556354317867962</v>
      </c>
      <c r="U13" s="73">
        <v>1.0714458095733397</v>
      </c>
      <c r="V13" s="73">
        <v>1.2783782706229452</v>
      </c>
    </row>
    <row r="14" spans="1:22" x14ac:dyDescent="0.2">
      <c r="A14" s="7" t="s">
        <v>78</v>
      </c>
      <c r="B14" s="73">
        <v>0.59045959588357788</v>
      </c>
      <c r="C14" s="73">
        <v>0.7017700844719722</v>
      </c>
      <c r="D14" s="73">
        <v>0.67072158412459082</v>
      </c>
      <c r="E14" s="73">
        <v>0.81602060308027879</v>
      </c>
      <c r="F14" s="73">
        <v>0.53393644646139138</v>
      </c>
      <c r="G14" s="73">
        <v>0.54863667197182842</v>
      </c>
      <c r="H14" s="73">
        <v>0.53981039384666929</v>
      </c>
      <c r="I14" s="73">
        <v>0.60484674980824227</v>
      </c>
      <c r="J14" s="73">
        <v>0.56132241422637441</v>
      </c>
      <c r="K14" s="73">
        <v>0.71899642106888328</v>
      </c>
      <c r="L14" s="73">
        <v>0.7322276259318935</v>
      </c>
      <c r="M14" s="73">
        <v>0.71750966180004305</v>
      </c>
      <c r="N14" s="73">
        <v>0.79767755456679168</v>
      </c>
      <c r="O14" s="73">
        <v>0.81123462447502714</v>
      </c>
      <c r="P14" s="73">
        <v>0.89540520431442694</v>
      </c>
      <c r="Q14" s="73">
        <v>0.84427707726647849</v>
      </c>
      <c r="R14" s="73">
        <v>0.49507441187436457</v>
      </c>
      <c r="S14" s="73">
        <v>0.70220090302722715</v>
      </c>
      <c r="T14" s="73">
        <v>1.0960807501465899</v>
      </c>
      <c r="U14" s="73">
        <v>1.1536524314229823</v>
      </c>
      <c r="V14" s="73">
        <v>1.3066743205533136</v>
      </c>
    </row>
    <row r="15" spans="1:22" x14ac:dyDescent="0.2">
      <c r="A15" s="7" t="s">
        <v>2</v>
      </c>
      <c r="B15" s="73">
        <v>0.92297177772293715</v>
      </c>
      <c r="C15" s="73">
        <v>0.9228120147660851</v>
      </c>
      <c r="D15" s="73">
        <v>0.78287299698559498</v>
      </c>
      <c r="E15" s="73">
        <v>0.85250725065658561</v>
      </c>
      <c r="F15" s="73">
        <v>0.81857478204016054</v>
      </c>
      <c r="G15" s="73">
        <v>0.80755302564531373</v>
      </c>
      <c r="H15" s="73">
        <v>0.75084552498106605</v>
      </c>
      <c r="I15" s="73">
        <v>0.83452721465834978</v>
      </c>
      <c r="J15" s="73">
        <v>0.73777456617613368</v>
      </c>
      <c r="K15" s="73">
        <v>0.89767194500055481</v>
      </c>
      <c r="L15" s="73">
        <v>0.85656091689646663</v>
      </c>
      <c r="M15" s="73">
        <v>0.86234274407726474</v>
      </c>
      <c r="N15" s="73">
        <v>0.96433211955181919</v>
      </c>
      <c r="O15" s="73">
        <v>0.95737999886593306</v>
      </c>
      <c r="P15" s="73">
        <v>0.93765129699994032</v>
      </c>
      <c r="Q15" s="73">
        <v>0.95413174729156736</v>
      </c>
      <c r="R15" s="73">
        <v>0.82047545437466884</v>
      </c>
      <c r="S15" s="73">
        <v>0.96419567832462127</v>
      </c>
      <c r="T15" s="73">
        <v>0.99613628846890145</v>
      </c>
      <c r="U15" s="73">
        <v>0.92545995294726524</v>
      </c>
      <c r="V15" s="73">
        <v>0.98908074789523082</v>
      </c>
    </row>
    <row r="16" spans="1:22" x14ac:dyDescent="0.2">
      <c r="A16" s="7" t="s">
        <v>75</v>
      </c>
      <c r="B16" s="73">
        <v>0.70706838261755134</v>
      </c>
      <c r="C16" s="73">
        <v>0.63290732246782833</v>
      </c>
      <c r="D16" s="73">
        <v>0.90266830452072455</v>
      </c>
      <c r="E16" s="73">
        <v>0.77478319142458563</v>
      </c>
      <c r="F16" s="73">
        <v>0.84906843124634535</v>
      </c>
      <c r="G16" s="73">
        <v>0.85219682279082554</v>
      </c>
      <c r="H16" s="73">
        <v>0.6148044615427195</v>
      </c>
      <c r="I16" s="73">
        <v>0.76153942185557633</v>
      </c>
      <c r="J16" s="73">
        <v>0.74831125743968319</v>
      </c>
      <c r="K16" s="73">
        <v>0.56733388020071174</v>
      </c>
      <c r="L16" s="73">
        <v>0.73937480456754001</v>
      </c>
      <c r="M16" s="73">
        <v>0.73231509218523372</v>
      </c>
      <c r="N16" s="73">
        <v>0.90110307821950508</v>
      </c>
      <c r="O16" s="73">
        <v>0.89069826877020208</v>
      </c>
      <c r="P16" s="73">
        <v>0.88655819220484322</v>
      </c>
      <c r="Q16" s="73">
        <v>1.0354210476416492</v>
      </c>
      <c r="R16" s="73">
        <v>0.49600773073396631</v>
      </c>
      <c r="S16" s="73">
        <v>0.68365557483789774</v>
      </c>
      <c r="T16" s="73">
        <v>0.9594604621363042</v>
      </c>
      <c r="U16" s="73">
        <v>0.97634612111836538</v>
      </c>
      <c r="V16" s="73">
        <v>1.0624053017477182</v>
      </c>
    </row>
    <row r="17" spans="1:22" x14ac:dyDescent="0.2">
      <c r="A17" s="7" t="s">
        <v>79</v>
      </c>
      <c r="B17" s="73">
        <v>0.9322319048450165</v>
      </c>
      <c r="C17" s="73">
        <v>0.81605163292378258</v>
      </c>
      <c r="D17" s="73">
        <v>0.97031800368163112</v>
      </c>
      <c r="E17" s="73">
        <v>0.98952431582697919</v>
      </c>
      <c r="F17" s="73">
        <v>0.99455986425828391</v>
      </c>
      <c r="G17" s="73">
        <v>0.87076797541560935</v>
      </c>
      <c r="H17" s="73">
        <v>0.87324945505475704</v>
      </c>
      <c r="I17" s="73">
        <v>0.94542527116828512</v>
      </c>
      <c r="J17" s="73">
        <v>0.97505152938702189</v>
      </c>
      <c r="K17" s="73">
        <v>1.0026227692405409</v>
      </c>
      <c r="L17" s="73">
        <v>1.0810166240502446</v>
      </c>
      <c r="M17" s="73">
        <v>1.1861793493257391</v>
      </c>
      <c r="N17" s="73">
        <v>1.3900113112695793</v>
      </c>
      <c r="O17" s="73">
        <v>1.421224809092958</v>
      </c>
      <c r="P17" s="73">
        <v>1.4312050074849463</v>
      </c>
      <c r="Q17" s="73">
        <v>1.4920980711863028</v>
      </c>
      <c r="R17" s="73">
        <v>0.35561409856343151</v>
      </c>
      <c r="S17" s="73">
        <v>0.86149795170585319</v>
      </c>
      <c r="T17" s="73">
        <v>1.1799075168822439</v>
      </c>
      <c r="U17" s="73">
        <v>1.4975362625757063</v>
      </c>
      <c r="V17" s="73">
        <v>1.451160219329422</v>
      </c>
    </row>
    <row r="18" spans="1:22" x14ac:dyDescent="0.2">
      <c r="A18" s="7" t="s">
        <v>80</v>
      </c>
      <c r="B18" s="73">
        <v>0.80496504778979949</v>
      </c>
      <c r="C18" s="73">
        <v>0.58077530954013545</v>
      </c>
      <c r="D18" s="73">
        <v>0.56627070741792596</v>
      </c>
      <c r="E18" s="73">
        <v>0.47777003509463611</v>
      </c>
      <c r="F18" s="73">
        <v>0.60060847758750169</v>
      </c>
      <c r="G18" s="73">
        <v>0.68107767871917613</v>
      </c>
      <c r="H18" s="73">
        <v>0.7288945509423268</v>
      </c>
      <c r="I18" s="73">
        <v>0.82702882306277981</v>
      </c>
      <c r="J18" s="73">
        <v>0.81387034353186294</v>
      </c>
      <c r="K18" s="73">
        <v>0.73142705886809922</v>
      </c>
      <c r="L18" s="73">
        <v>0.86252755836682926</v>
      </c>
      <c r="M18" s="73">
        <v>0.82331009380381803</v>
      </c>
      <c r="N18" s="73">
        <v>0.88844468228276019</v>
      </c>
      <c r="O18" s="73">
        <v>0.96401713288680158</v>
      </c>
      <c r="P18" s="73">
        <v>1.0696149397303458</v>
      </c>
      <c r="Q18" s="73">
        <v>1.0621494369917703</v>
      </c>
      <c r="R18" s="73">
        <v>0.4077478801603211</v>
      </c>
      <c r="S18" s="73">
        <v>0.6009299201166115</v>
      </c>
      <c r="T18" s="73">
        <v>0.90417749006849191</v>
      </c>
      <c r="U18" s="73">
        <v>1.0909598716722704</v>
      </c>
      <c r="V18" s="73">
        <v>1.1621428277397687</v>
      </c>
    </row>
    <row r="19" spans="1:22" x14ac:dyDescent="0.2">
      <c r="A19" s="7" t="s">
        <v>3</v>
      </c>
      <c r="B19" s="73">
        <v>0.80178382988984531</v>
      </c>
      <c r="C19" s="73">
        <v>0.73386388351722198</v>
      </c>
      <c r="D19" s="73">
        <v>0.59889554675355594</v>
      </c>
      <c r="E19" s="73">
        <v>0.8266720131251647</v>
      </c>
      <c r="F19" s="73">
        <v>0.79443317428214111</v>
      </c>
      <c r="G19" s="73">
        <v>0.87145862978052158</v>
      </c>
      <c r="H19" s="73">
        <v>0.71899840065095599</v>
      </c>
      <c r="I19" s="73">
        <v>0.72270948184048012</v>
      </c>
      <c r="J19" s="73">
        <v>0.87379112001847636</v>
      </c>
      <c r="K19" s="73">
        <v>0.92320396977092656</v>
      </c>
      <c r="L19" s="73">
        <v>0.72793375013956707</v>
      </c>
      <c r="M19" s="73">
        <v>0.77862602814385273</v>
      </c>
      <c r="N19" s="73">
        <v>1.0418308544357846</v>
      </c>
      <c r="O19" s="73">
        <v>0.94834158669496582</v>
      </c>
      <c r="P19" s="73">
        <v>1.1597381085059164</v>
      </c>
      <c r="Q19" s="73">
        <v>1.2790372092098441</v>
      </c>
      <c r="R19" s="73">
        <v>0.64454837125902975</v>
      </c>
      <c r="S19" s="73">
        <v>0.79430801005188578</v>
      </c>
      <c r="T19" s="73">
        <v>1.0983191794936635</v>
      </c>
      <c r="U19" s="73">
        <v>1.4418988152988927</v>
      </c>
      <c r="V19" s="73">
        <v>1.3738935966387669</v>
      </c>
    </row>
    <row r="20" spans="1:22" x14ac:dyDescent="0.2">
      <c r="A20" s="7" t="s">
        <v>4</v>
      </c>
      <c r="B20" s="73">
        <v>0.7338155253993992</v>
      </c>
      <c r="C20" s="73">
        <v>0.67340898803525451</v>
      </c>
      <c r="D20" s="73">
        <v>0.73395864812639422</v>
      </c>
      <c r="E20" s="73">
        <v>0.67156419923023314</v>
      </c>
      <c r="F20" s="73">
        <v>0.731715910641484</v>
      </c>
      <c r="G20" s="73">
        <v>0.77725040075113538</v>
      </c>
      <c r="H20" s="73">
        <v>0.74040816121424791</v>
      </c>
      <c r="I20" s="73">
        <v>0.74134128225674589</v>
      </c>
      <c r="J20" s="73">
        <v>0.65438070178897167</v>
      </c>
      <c r="K20" s="73">
        <v>0.635739540946194</v>
      </c>
      <c r="L20" s="73">
        <v>0.77550050888726285</v>
      </c>
      <c r="M20" s="73">
        <v>0.81892098119185142</v>
      </c>
      <c r="N20" s="73">
        <v>0.99653616501167175</v>
      </c>
      <c r="O20" s="73">
        <v>0.98818059564355398</v>
      </c>
      <c r="P20" s="73">
        <v>0.95298175466183643</v>
      </c>
      <c r="Q20" s="73">
        <v>1.0104688140820104</v>
      </c>
      <c r="R20" s="73">
        <v>0.51428285937046414</v>
      </c>
      <c r="S20" s="73">
        <v>0.59829023156786365</v>
      </c>
      <c r="T20" s="73">
        <v>0.82946439857179133</v>
      </c>
      <c r="U20" s="73">
        <v>0.93986162441143606</v>
      </c>
      <c r="V20" s="73">
        <v>0.93692832323869535</v>
      </c>
    </row>
    <row r="21" spans="1:22" s="48" customFormat="1" x14ac:dyDescent="0.2">
      <c r="A21" s="49" t="s">
        <v>0</v>
      </c>
      <c r="B21" s="79">
        <v>0.78383820301634577</v>
      </c>
      <c r="C21" s="79">
        <v>0.73557899717570219</v>
      </c>
      <c r="D21" s="79">
        <v>0.75131835023154658</v>
      </c>
      <c r="E21" s="79">
        <v>0.793660074909046</v>
      </c>
      <c r="F21" s="79">
        <v>0.77315744906802708</v>
      </c>
      <c r="G21" s="79">
        <v>0.77922814367068438</v>
      </c>
      <c r="H21" s="79">
        <v>0.74187898926731222</v>
      </c>
      <c r="I21" s="79">
        <v>0.79440260798628204</v>
      </c>
      <c r="J21" s="79">
        <v>0.79432509156768061</v>
      </c>
      <c r="K21" s="79">
        <v>0.82093324416285562</v>
      </c>
      <c r="L21" s="79">
        <v>0.8331679466670151</v>
      </c>
      <c r="M21" s="79">
        <v>0.85047080016280385</v>
      </c>
      <c r="N21" s="79">
        <v>0.9481425568016616</v>
      </c>
      <c r="O21" s="79">
        <v>0.96354623421988472</v>
      </c>
      <c r="P21" s="79">
        <v>0.97975730335395705</v>
      </c>
      <c r="Q21" s="79">
        <v>1.015309235124878</v>
      </c>
      <c r="R21" s="79">
        <v>0.55288837548342928</v>
      </c>
      <c r="S21" s="79">
        <v>0.77585217863696665</v>
      </c>
      <c r="T21" s="79">
        <v>1.0028932571691735</v>
      </c>
      <c r="U21" s="79">
        <v>1.0804097079144077</v>
      </c>
      <c r="V21" s="79">
        <v>1.1502643229723803</v>
      </c>
    </row>
  </sheetData>
  <phoneticPr fontId="21" type="noConversion"/>
  <hyperlinks>
    <hyperlink ref="A2" location="Sommaire!A1" display="Retour au menu &quot;Exploitation des films&quot;" xr:uid="{00000000-0004-0000-2600-000000000000}"/>
  </hyperlinks>
  <pageMargins left="0.78740157499999996" right="0.78740157499999996" top="0.984251969" bottom="0.984251969" header="0.4921259845" footer="0.492125984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93</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5">
        <v>16.985864507059386</v>
      </c>
      <c r="C8" s="75">
        <v>15.051492991010621</v>
      </c>
      <c r="D8" s="75">
        <v>16.146060535688409</v>
      </c>
      <c r="E8" s="75">
        <v>14.73906746718133</v>
      </c>
      <c r="F8" s="75">
        <v>14.477416352451177</v>
      </c>
      <c r="G8" s="75">
        <v>15.213877717778502</v>
      </c>
      <c r="H8" s="75">
        <v>15.520388345502804</v>
      </c>
      <c r="I8" s="75">
        <v>15.721343889131219</v>
      </c>
      <c r="J8" s="75">
        <v>14.450558199353397</v>
      </c>
      <c r="K8" s="75">
        <v>14.278783753887817</v>
      </c>
      <c r="L8" s="75">
        <v>15.153137771167058</v>
      </c>
      <c r="M8" s="75">
        <v>15.834070394827995</v>
      </c>
      <c r="N8" s="75">
        <v>16.309317940312908</v>
      </c>
      <c r="O8" s="75">
        <v>15.834292494507979</v>
      </c>
      <c r="P8" s="75">
        <v>14.834549375536776</v>
      </c>
      <c r="Q8" s="75">
        <v>15.554013400558686</v>
      </c>
      <c r="R8" s="75">
        <v>7.9043751460226508</v>
      </c>
      <c r="S8" s="75">
        <v>10.573823337505338</v>
      </c>
      <c r="T8" s="75">
        <v>10.259871093255384</v>
      </c>
      <c r="U8" s="75">
        <v>13.919042635690658</v>
      </c>
      <c r="V8" s="75">
        <v>13.369932866627016</v>
      </c>
    </row>
    <row r="9" spans="1:22" x14ac:dyDescent="0.2">
      <c r="A9" s="7" t="s">
        <v>73</v>
      </c>
      <c r="B9" s="75">
        <v>14.145436889787815</v>
      </c>
      <c r="C9" s="75">
        <v>12.717629624871682</v>
      </c>
      <c r="D9" s="75">
        <v>14.176134264867571</v>
      </c>
      <c r="E9" s="75">
        <v>11.858384157220895</v>
      </c>
      <c r="F9" s="75">
        <v>13.69389883526598</v>
      </c>
      <c r="G9" s="75">
        <v>14.536762032529285</v>
      </c>
      <c r="H9" s="75">
        <v>12.768750680545887</v>
      </c>
      <c r="I9" s="75">
        <v>13.035012949045441</v>
      </c>
      <c r="J9" s="75">
        <v>12.585636540102158</v>
      </c>
      <c r="K9" s="75">
        <v>12.327005522914467</v>
      </c>
      <c r="L9" s="75">
        <v>12.306405615039262</v>
      </c>
      <c r="M9" s="75">
        <v>11.792630224987571</v>
      </c>
      <c r="N9" s="75">
        <v>12.161516458371736</v>
      </c>
      <c r="O9" s="75">
        <v>12.00460414862693</v>
      </c>
      <c r="P9" s="75">
        <v>10.931385603151202</v>
      </c>
      <c r="Q9" s="75">
        <v>11.30635041637378</v>
      </c>
      <c r="R9" s="75">
        <v>7.4218277203267489</v>
      </c>
      <c r="S9" s="75">
        <v>10.111661297098742</v>
      </c>
      <c r="T9" s="75">
        <v>8.7436419503884792</v>
      </c>
      <c r="U9" s="75">
        <v>10.172578423805213</v>
      </c>
      <c r="V9" s="75">
        <v>10.099960974723251</v>
      </c>
    </row>
    <row r="10" spans="1:22" x14ac:dyDescent="0.2">
      <c r="A10" s="7" t="s">
        <v>1</v>
      </c>
      <c r="B10" s="75">
        <v>17.836703024277085</v>
      </c>
      <c r="C10" s="75">
        <v>15.417226134489775</v>
      </c>
      <c r="D10" s="75">
        <v>14.669538956048397</v>
      </c>
      <c r="E10" s="75">
        <v>13.838546088928297</v>
      </c>
      <c r="F10" s="75">
        <v>14.089906846058685</v>
      </c>
      <c r="G10" s="75">
        <v>14.189592768183227</v>
      </c>
      <c r="H10" s="75">
        <v>14.134653562084006</v>
      </c>
      <c r="I10" s="75">
        <v>14.860426078452264</v>
      </c>
      <c r="J10" s="75">
        <v>13.276416082293835</v>
      </c>
      <c r="K10" s="75">
        <v>12.233121003147458</v>
      </c>
      <c r="L10" s="75">
        <v>13.010445750398878</v>
      </c>
      <c r="M10" s="75">
        <v>12.528851184036094</v>
      </c>
      <c r="N10" s="75">
        <v>13.018728463480278</v>
      </c>
      <c r="O10" s="75">
        <v>12.84162983327646</v>
      </c>
      <c r="P10" s="75">
        <v>12.884425627517343</v>
      </c>
      <c r="Q10" s="75">
        <v>12.575720520081216</v>
      </c>
      <c r="R10" s="75">
        <v>8.8966415635184184</v>
      </c>
      <c r="S10" s="75">
        <v>11.104684347828965</v>
      </c>
      <c r="T10" s="75">
        <v>10.466391179399395</v>
      </c>
      <c r="U10" s="75">
        <v>13.248199573328655</v>
      </c>
      <c r="V10" s="75">
        <v>13.612540331017309</v>
      </c>
    </row>
    <row r="11" spans="1:22" x14ac:dyDescent="0.2">
      <c r="A11" s="7" t="s">
        <v>74</v>
      </c>
      <c r="B11" s="75">
        <v>15.169088270615347</v>
      </c>
      <c r="C11" s="75">
        <v>9.9509583777640778</v>
      </c>
      <c r="D11" s="75">
        <v>12.301366247270467</v>
      </c>
      <c r="E11" s="75">
        <v>10.614360765173743</v>
      </c>
      <c r="F11" s="75">
        <v>12.207649133111016</v>
      </c>
      <c r="G11" s="75">
        <v>12.654752273091162</v>
      </c>
      <c r="H11" s="75">
        <v>12.78829255176214</v>
      </c>
      <c r="I11" s="75">
        <v>12.819827056614011</v>
      </c>
      <c r="J11" s="75">
        <v>12.881993638946746</v>
      </c>
      <c r="K11" s="75">
        <v>11.13789966838805</v>
      </c>
      <c r="L11" s="75">
        <v>12.180469900590566</v>
      </c>
      <c r="M11" s="75">
        <v>13.377109359790948</v>
      </c>
      <c r="N11" s="75">
        <v>13.675511141741328</v>
      </c>
      <c r="O11" s="75">
        <v>13.643614073578124</v>
      </c>
      <c r="P11" s="75">
        <v>10.875121359536811</v>
      </c>
      <c r="Q11" s="75">
        <v>12.746004934998384</v>
      </c>
      <c r="R11" s="75">
        <v>7.9430630088901415</v>
      </c>
      <c r="S11" s="75">
        <v>10.224587767397786</v>
      </c>
      <c r="T11" s="75">
        <v>8.8378551438898505</v>
      </c>
      <c r="U11" s="75">
        <v>10.71774668746964</v>
      </c>
      <c r="V11" s="75">
        <v>10.47138665280937</v>
      </c>
    </row>
    <row r="12" spans="1:22" x14ac:dyDescent="0.2">
      <c r="A12" s="7" t="s">
        <v>5</v>
      </c>
      <c r="B12" s="75">
        <v>8.6158971266800943</v>
      </c>
      <c r="C12" s="75">
        <v>13.55330586392262</v>
      </c>
      <c r="D12" s="75">
        <v>14.692533351526013</v>
      </c>
      <c r="E12" s="75">
        <v>14.513122935054634</v>
      </c>
      <c r="F12" s="75">
        <v>14.49423313547061</v>
      </c>
      <c r="G12" s="75">
        <v>15.860133153534555</v>
      </c>
      <c r="H12" s="75">
        <v>16.91138985919978</v>
      </c>
      <c r="I12" s="75">
        <v>16.452431877858348</v>
      </c>
      <c r="J12" s="75" t="e">
        <v>#DIV/0!</v>
      </c>
      <c r="K12" s="75" t="e">
        <v>#DIV/0!</v>
      </c>
      <c r="L12" s="75">
        <v>11.323830873056435</v>
      </c>
      <c r="M12" s="75">
        <v>17.097821485204488</v>
      </c>
      <c r="N12" s="75">
        <v>20.040173203315987</v>
      </c>
      <c r="O12" s="75">
        <v>20.419421674992229</v>
      </c>
      <c r="P12" s="75">
        <v>18.89435805100063</v>
      </c>
      <c r="Q12" s="75">
        <v>19.321234152473352</v>
      </c>
      <c r="R12" s="75">
        <v>9.6723498919048261</v>
      </c>
      <c r="S12" s="75">
        <v>13.382804722961804</v>
      </c>
      <c r="T12" s="75">
        <v>12.937231514983038</v>
      </c>
      <c r="U12" s="75">
        <v>15.625508393339391</v>
      </c>
      <c r="V12" s="75">
        <v>14.605003096658864</v>
      </c>
    </row>
    <row r="13" spans="1:22" x14ac:dyDescent="0.2">
      <c r="A13" s="7" t="s">
        <v>77</v>
      </c>
      <c r="B13" s="75">
        <v>13.01114239475026</v>
      </c>
      <c r="C13" s="75">
        <v>10.98298971299478</v>
      </c>
      <c r="D13" s="75">
        <v>11.683788640503053</v>
      </c>
      <c r="E13" s="75">
        <v>11.060595297503195</v>
      </c>
      <c r="F13" s="75">
        <v>11.345823312712286</v>
      </c>
      <c r="G13" s="75">
        <v>11.973566861761604</v>
      </c>
      <c r="H13" s="75">
        <v>11.832218576010405</v>
      </c>
      <c r="I13" s="75">
        <v>12.383691311126789</v>
      </c>
      <c r="J13" s="75">
        <v>11.084636863513825</v>
      </c>
      <c r="K13" s="75">
        <v>10.403161267434054</v>
      </c>
      <c r="L13" s="75">
        <v>11.861944649157376</v>
      </c>
      <c r="M13" s="75">
        <v>11.318253226746229</v>
      </c>
      <c r="N13" s="75">
        <v>11.675385025665225</v>
      </c>
      <c r="O13" s="75">
        <v>11.369166677364154</v>
      </c>
      <c r="P13" s="75">
        <v>10.678785788271556</v>
      </c>
      <c r="Q13" s="75">
        <v>11.596261133613597</v>
      </c>
      <c r="R13" s="75">
        <v>7.6683861777232103</v>
      </c>
      <c r="S13" s="75">
        <v>8.9780837628473709</v>
      </c>
      <c r="T13" s="75">
        <v>8.0131820442273636</v>
      </c>
      <c r="U13" s="75">
        <v>10.282818384707761</v>
      </c>
      <c r="V13" s="75">
        <v>8.9906242001820917</v>
      </c>
    </row>
    <row r="14" spans="1:22" x14ac:dyDescent="0.2">
      <c r="A14" s="7" t="s">
        <v>78</v>
      </c>
      <c r="B14" s="75">
        <v>13.084316571996455</v>
      </c>
      <c r="C14" s="75">
        <v>11.915442626335535</v>
      </c>
      <c r="D14" s="75">
        <v>12.418913299699803</v>
      </c>
      <c r="E14" s="75">
        <v>11.825641588595918</v>
      </c>
      <c r="F14" s="75">
        <v>13.179642776507205</v>
      </c>
      <c r="G14" s="75">
        <v>13.35881356479201</v>
      </c>
      <c r="H14" s="75">
        <v>13.286387796769237</v>
      </c>
      <c r="I14" s="75">
        <v>14.347541011707834</v>
      </c>
      <c r="J14" s="75">
        <v>13.052427974662701</v>
      </c>
      <c r="K14" s="75">
        <v>11.46190161831885</v>
      </c>
      <c r="L14" s="75">
        <v>13.594205597866985</v>
      </c>
      <c r="M14" s="75">
        <v>14.010395900394762</v>
      </c>
      <c r="N14" s="75">
        <v>14.213842143663181</v>
      </c>
      <c r="O14" s="75">
        <v>14.39762580343956</v>
      </c>
      <c r="P14" s="75">
        <v>13.312736615069621</v>
      </c>
      <c r="Q14" s="75">
        <v>13.712628269157372</v>
      </c>
      <c r="R14" s="75">
        <v>7.766093973309121</v>
      </c>
      <c r="S14" s="75">
        <v>9.6803682269029245</v>
      </c>
      <c r="T14" s="75">
        <v>8.795022241687672</v>
      </c>
      <c r="U14" s="75">
        <v>11.391489435132444</v>
      </c>
      <c r="V14" s="75">
        <v>10.728785203087043</v>
      </c>
    </row>
    <row r="15" spans="1:22" x14ac:dyDescent="0.2">
      <c r="A15" s="7" t="s">
        <v>2</v>
      </c>
      <c r="B15" s="75">
        <v>15.274599870144529</v>
      </c>
      <c r="C15" s="75">
        <v>14.111824756061701</v>
      </c>
      <c r="D15" s="75">
        <v>14.885422260484516</v>
      </c>
      <c r="E15" s="75">
        <v>14.530627458163107</v>
      </c>
      <c r="F15" s="75">
        <v>14.878656332890383</v>
      </c>
      <c r="G15" s="75">
        <v>15.661904144367883</v>
      </c>
      <c r="H15" s="75">
        <v>14.675388102224254</v>
      </c>
      <c r="I15" s="75">
        <v>14.903377799309508</v>
      </c>
      <c r="J15" s="75">
        <v>14.79383212182975</v>
      </c>
      <c r="K15" s="75">
        <v>14.360891086666674</v>
      </c>
      <c r="L15" s="75">
        <v>14.656824769999524</v>
      </c>
      <c r="M15" s="75">
        <v>13.567110236184451</v>
      </c>
      <c r="N15" s="75">
        <v>14.371247913569899</v>
      </c>
      <c r="O15" s="75">
        <v>13.728261420974958</v>
      </c>
      <c r="P15" s="75">
        <v>12.015456495411231</v>
      </c>
      <c r="Q15" s="75">
        <v>13.146389276874402</v>
      </c>
      <c r="R15" s="75">
        <v>9.3851798437875775</v>
      </c>
      <c r="S15" s="75">
        <v>11.034854912391779</v>
      </c>
      <c r="T15" s="75">
        <v>10.31541657473365</v>
      </c>
      <c r="U15" s="75">
        <v>11.389880489277784</v>
      </c>
      <c r="V15" s="75">
        <v>11.221724631722831</v>
      </c>
    </row>
    <row r="16" spans="1:22" x14ac:dyDescent="0.2">
      <c r="A16" s="7" t="s">
        <v>75</v>
      </c>
      <c r="B16" s="75">
        <v>12.560348844313515</v>
      </c>
      <c r="C16" s="75">
        <v>11.459616013553154</v>
      </c>
      <c r="D16" s="75">
        <v>12.639517341668856</v>
      </c>
      <c r="E16" s="75">
        <v>11.380236098565081</v>
      </c>
      <c r="F16" s="75">
        <v>12.100519256673996</v>
      </c>
      <c r="G16" s="75">
        <v>12.547250552046668</v>
      </c>
      <c r="H16" s="75">
        <v>11.003075915257888</v>
      </c>
      <c r="I16" s="75">
        <v>12.108093467558179</v>
      </c>
      <c r="J16" s="75">
        <v>11.319336897879397</v>
      </c>
      <c r="K16" s="75">
        <v>9.964700755930691</v>
      </c>
      <c r="L16" s="75">
        <v>12.013943193352009</v>
      </c>
      <c r="M16" s="75">
        <v>11.918182424134418</v>
      </c>
      <c r="N16" s="75">
        <v>10.754572433365524</v>
      </c>
      <c r="O16" s="75">
        <v>10.237566325166393</v>
      </c>
      <c r="P16" s="75">
        <v>9.7402560642841429</v>
      </c>
      <c r="Q16" s="75">
        <v>10.926279588152541</v>
      </c>
      <c r="R16" s="75">
        <v>7.4288517700651671</v>
      </c>
      <c r="S16" s="75">
        <v>10.808548845173945</v>
      </c>
      <c r="T16" s="75">
        <v>9.0212955883721282</v>
      </c>
      <c r="U16" s="75">
        <v>10.75455300719535</v>
      </c>
      <c r="V16" s="75">
        <v>10.830366129540923</v>
      </c>
    </row>
    <row r="17" spans="1:22" x14ac:dyDescent="0.2">
      <c r="A17" s="7" t="s">
        <v>79</v>
      </c>
      <c r="B17" s="75">
        <v>12.88048891217319</v>
      </c>
      <c r="C17" s="75">
        <v>11.605644968237325</v>
      </c>
      <c r="D17" s="75">
        <v>12.289361796806702</v>
      </c>
      <c r="E17" s="75">
        <v>12.16386558681358</v>
      </c>
      <c r="F17" s="75">
        <v>11.952343823659428</v>
      </c>
      <c r="G17" s="75">
        <v>12.804452834310201</v>
      </c>
      <c r="H17" s="75">
        <v>12.907299118373897</v>
      </c>
      <c r="I17" s="75">
        <v>13.013044758714134</v>
      </c>
      <c r="J17" s="75">
        <v>12.53719786570924</v>
      </c>
      <c r="K17" s="75">
        <v>10.958481877139169</v>
      </c>
      <c r="L17" s="75">
        <v>11.823640159622695</v>
      </c>
      <c r="M17" s="75">
        <v>12.254153199043801</v>
      </c>
      <c r="N17" s="75">
        <v>12.101099272688099</v>
      </c>
      <c r="O17" s="75">
        <v>11.860390457863867</v>
      </c>
      <c r="P17" s="75">
        <v>11.135045083328112</v>
      </c>
      <c r="Q17" s="75">
        <v>12.025135590107155</v>
      </c>
      <c r="R17" s="75">
        <v>7.03851156850485</v>
      </c>
      <c r="S17" s="75">
        <v>9.0956212698894667</v>
      </c>
      <c r="T17" s="75">
        <v>8.8729786906973835</v>
      </c>
      <c r="U17" s="75">
        <v>10.866855234168499</v>
      </c>
      <c r="V17" s="75">
        <v>11.275330464913711</v>
      </c>
    </row>
    <row r="18" spans="1:22" x14ac:dyDescent="0.2">
      <c r="A18" s="7" t="s">
        <v>80</v>
      </c>
      <c r="B18" s="75">
        <v>15.252575020765446</v>
      </c>
      <c r="C18" s="75">
        <v>14.034040998784192</v>
      </c>
      <c r="D18" s="75">
        <v>13.704725786158253</v>
      </c>
      <c r="E18" s="75">
        <v>12.401975119883184</v>
      </c>
      <c r="F18" s="75">
        <v>12.965260509915542</v>
      </c>
      <c r="G18" s="75">
        <v>14.135384092532039</v>
      </c>
      <c r="H18" s="75">
        <v>13.852547406763307</v>
      </c>
      <c r="I18" s="75">
        <v>14.274471981908862</v>
      </c>
      <c r="J18" s="75">
        <v>13.067994072165417</v>
      </c>
      <c r="K18" s="75">
        <v>12.204818173591153</v>
      </c>
      <c r="L18" s="75">
        <v>13.018277663592196</v>
      </c>
      <c r="M18" s="75">
        <v>12.645864413369257</v>
      </c>
      <c r="N18" s="75">
        <v>13.107541837262456</v>
      </c>
      <c r="O18" s="75">
        <v>12.623219101937231</v>
      </c>
      <c r="P18" s="75">
        <v>11.168235330420455</v>
      </c>
      <c r="Q18" s="75">
        <v>12.146814243375534</v>
      </c>
      <c r="R18" s="75">
        <v>7.3081898087964365</v>
      </c>
      <c r="S18" s="75">
        <v>9.2458393410075619</v>
      </c>
      <c r="T18" s="75">
        <v>9.3100066519901397</v>
      </c>
      <c r="U18" s="75">
        <v>11.330679696647456</v>
      </c>
      <c r="V18" s="75">
        <v>11.641051640791096</v>
      </c>
    </row>
    <row r="19" spans="1:22" x14ac:dyDescent="0.2">
      <c r="A19" s="7" t="s">
        <v>3</v>
      </c>
      <c r="B19" s="75">
        <v>16.428379204253758</v>
      </c>
      <c r="C19" s="75">
        <v>15.008527578411703</v>
      </c>
      <c r="D19" s="75">
        <v>17.209279534083734</v>
      </c>
      <c r="E19" s="75">
        <v>14.487564707720843</v>
      </c>
      <c r="F19" s="75">
        <v>14.499109454410499</v>
      </c>
      <c r="G19" s="75">
        <v>14.868182839022968</v>
      </c>
      <c r="H19" s="75">
        <v>15.413460370933386</v>
      </c>
      <c r="I19" s="75">
        <v>16.334849666189569</v>
      </c>
      <c r="J19" s="75">
        <v>14.420197638155392</v>
      </c>
      <c r="K19" s="75">
        <v>13.943063556520555</v>
      </c>
      <c r="L19" s="75">
        <v>16.452782999745796</v>
      </c>
      <c r="M19" s="75">
        <v>14.9608278883472</v>
      </c>
      <c r="N19" s="75">
        <v>15.721223175450572</v>
      </c>
      <c r="O19" s="75">
        <v>16.139893497990819</v>
      </c>
      <c r="P19" s="75">
        <v>14.303466558228614</v>
      </c>
      <c r="Q19" s="75">
        <v>15.455073130174521</v>
      </c>
      <c r="R19" s="75">
        <v>10.160987129139285</v>
      </c>
      <c r="S19" s="75">
        <v>12.239436278923025</v>
      </c>
      <c r="T19" s="75">
        <v>11.401744678214884</v>
      </c>
      <c r="U19" s="75">
        <v>14.77336743605785</v>
      </c>
      <c r="V19" s="75">
        <v>15.187107733338459</v>
      </c>
    </row>
    <row r="20" spans="1:22" x14ac:dyDescent="0.2">
      <c r="A20" s="7" t="s">
        <v>4</v>
      </c>
      <c r="B20" s="75">
        <v>14.433309286926136</v>
      </c>
      <c r="C20" s="75">
        <v>14.280885123985099</v>
      </c>
      <c r="D20" s="75">
        <v>15.666526216853796</v>
      </c>
      <c r="E20" s="75">
        <v>14.485429659682856</v>
      </c>
      <c r="F20" s="75">
        <v>14.523233598519822</v>
      </c>
      <c r="G20" s="75">
        <v>15.923863439692326</v>
      </c>
      <c r="H20" s="75">
        <v>16.628478400925527</v>
      </c>
      <c r="I20" s="75">
        <v>16.685237011125679</v>
      </c>
      <c r="J20" s="75">
        <v>15.056024395590617</v>
      </c>
      <c r="K20" s="75">
        <v>13.884515457156954</v>
      </c>
      <c r="L20" s="75">
        <v>15.134574000471259</v>
      </c>
      <c r="M20" s="75">
        <v>13.908428061803987</v>
      </c>
      <c r="N20" s="75">
        <v>13.755229828330936</v>
      </c>
      <c r="O20" s="75">
        <v>13.452997037876798</v>
      </c>
      <c r="P20" s="75">
        <v>13.35916827638346</v>
      </c>
      <c r="Q20" s="75">
        <v>13.849372432596626</v>
      </c>
      <c r="R20" s="75">
        <v>9.2417467689345365</v>
      </c>
      <c r="S20" s="75">
        <v>9.8519286228841576</v>
      </c>
      <c r="T20" s="75">
        <v>9.6871317535077761</v>
      </c>
      <c r="U20" s="75">
        <v>11.670315803246465</v>
      </c>
      <c r="V20" s="75">
        <v>11.393370188599247</v>
      </c>
    </row>
    <row r="21" spans="1:22" s="48" customFormat="1" x14ac:dyDescent="0.2">
      <c r="A21" s="49" t="s">
        <v>0</v>
      </c>
      <c r="B21" s="76">
        <v>14.594394099281303</v>
      </c>
      <c r="C21" s="76">
        <v>13.140307118018265</v>
      </c>
      <c r="D21" s="76">
        <v>13.893528727114338</v>
      </c>
      <c r="E21" s="76">
        <v>12.972027966845308</v>
      </c>
      <c r="F21" s="76">
        <v>13.417396722590267</v>
      </c>
      <c r="G21" s="76">
        <v>14.120819160506217</v>
      </c>
      <c r="H21" s="76">
        <v>13.865255086870437</v>
      </c>
      <c r="I21" s="76">
        <v>14.273535262591034</v>
      </c>
      <c r="J21" s="76">
        <v>13.323963359678622</v>
      </c>
      <c r="K21" s="76">
        <v>12.447245953551567</v>
      </c>
      <c r="L21" s="76">
        <v>13.448860827509849</v>
      </c>
      <c r="M21" s="76">
        <v>13.165651710807195</v>
      </c>
      <c r="N21" s="76">
        <v>13.45511997951723</v>
      </c>
      <c r="O21" s="76">
        <v>13.118694556539081</v>
      </c>
      <c r="P21" s="76">
        <v>12.0797437127009</v>
      </c>
      <c r="Q21" s="76">
        <v>12.982135091871807</v>
      </c>
      <c r="R21" s="76">
        <v>8.3436116280996355</v>
      </c>
      <c r="S21" s="76">
        <v>10.197376114062937</v>
      </c>
      <c r="T21" s="76">
        <v>9.483595772075093</v>
      </c>
      <c r="U21" s="76">
        <v>11.64286765836842</v>
      </c>
      <c r="V21" s="76">
        <v>11.377746745571581</v>
      </c>
    </row>
  </sheetData>
  <phoneticPr fontId="21" type="noConversion"/>
  <hyperlinks>
    <hyperlink ref="A2" location="Sommaire!A1" display="Retour au menu &quot;Exploitation des films&quot;" xr:uid="{00000000-0004-0000-2700-000000000000}"/>
  </hyperlinks>
  <pageMargins left="0.78740157499999996" right="0.78740157499999996" top="0.984251969" bottom="0.984251969" header="0.4921259845" footer="0.4921259845"/>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102</v>
      </c>
    </row>
    <row r="6" spans="1:22" ht="3" customHeight="1" x14ac:dyDescent="0.2"/>
    <row r="7" spans="1:22" s="48" customFormat="1" x14ac:dyDescent="0.2">
      <c r="A7" s="14"/>
      <c r="B7" s="69" t="s">
        <v>37</v>
      </c>
      <c r="C7" s="69" t="s">
        <v>38</v>
      </c>
      <c r="D7" s="69" t="s">
        <v>39</v>
      </c>
      <c r="E7" s="69" t="s">
        <v>40</v>
      </c>
      <c r="F7" s="69" t="s">
        <v>41</v>
      </c>
      <c r="G7" s="69" t="s">
        <v>42</v>
      </c>
      <c r="H7" s="69" t="s">
        <v>43</v>
      </c>
      <c r="I7" s="77">
        <v>2011</v>
      </c>
      <c r="J7" s="69">
        <v>2012</v>
      </c>
      <c r="K7" s="77">
        <v>2013</v>
      </c>
      <c r="L7" s="69">
        <v>2014</v>
      </c>
      <c r="M7" s="77">
        <v>2015</v>
      </c>
      <c r="N7" s="69">
        <v>2016</v>
      </c>
      <c r="O7" s="77">
        <v>2017</v>
      </c>
      <c r="P7" s="69">
        <v>2018</v>
      </c>
      <c r="Q7" s="77">
        <v>2019</v>
      </c>
      <c r="R7" s="77">
        <v>2020</v>
      </c>
      <c r="S7" s="77">
        <v>2021</v>
      </c>
      <c r="T7" s="77">
        <v>2022</v>
      </c>
      <c r="U7" s="77">
        <v>2023</v>
      </c>
      <c r="V7" s="77">
        <v>2024</v>
      </c>
    </row>
    <row r="8" spans="1:22" x14ac:dyDescent="0.2">
      <c r="A8" s="7" t="s">
        <v>72</v>
      </c>
      <c r="B8" s="78">
        <v>25</v>
      </c>
      <c r="C8" s="78">
        <v>19</v>
      </c>
      <c r="D8" s="78">
        <v>20</v>
      </c>
      <c r="E8" s="78">
        <v>15</v>
      </c>
      <c r="F8" s="78">
        <v>17</v>
      </c>
      <c r="G8" s="78">
        <v>20</v>
      </c>
      <c r="H8" s="78">
        <v>20</v>
      </c>
      <c r="I8" s="78">
        <v>22</v>
      </c>
      <c r="J8" s="78">
        <v>18</v>
      </c>
      <c r="K8" s="78">
        <v>24</v>
      </c>
      <c r="L8" s="78">
        <v>28</v>
      </c>
      <c r="M8" s="78">
        <v>29</v>
      </c>
      <c r="N8" s="78">
        <v>29</v>
      </c>
      <c r="O8" s="78">
        <v>30</v>
      </c>
      <c r="P8" s="78">
        <v>30</v>
      </c>
      <c r="Q8" s="78">
        <v>30</v>
      </c>
      <c r="R8" s="78">
        <v>6</v>
      </c>
      <c r="S8" s="78">
        <v>8</v>
      </c>
      <c r="T8" s="78">
        <v>21</v>
      </c>
      <c r="U8" s="78">
        <v>29</v>
      </c>
      <c r="V8" s="78">
        <v>26</v>
      </c>
    </row>
    <row r="9" spans="1:22" x14ac:dyDescent="0.2">
      <c r="A9" s="7" t="s">
        <v>73</v>
      </c>
      <c r="B9" s="78">
        <v>9</v>
      </c>
      <c r="C9" s="78">
        <v>7</v>
      </c>
      <c r="D9" s="78">
        <v>7</v>
      </c>
      <c r="E9" s="78">
        <v>2</v>
      </c>
      <c r="F9" s="78">
        <v>9</v>
      </c>
      <c r="G9" s="78">
        <v>10</v>
      </c>
      <c r="H9" s="78">
        <v>9</v>
      </c>
      <c r="I9" s="78">
        <v>9</v>
      </c>
      <c r="J9" s="78">
        <v>6</v>
      </c>
      <c r="K9" s="78">
        <v>5</v>
      </c>
      <c r="L9" s="78">
        <v>9</v>
      </c>
      <c r="M9" s="78">
        <v>8</v>
      </c>
      <c r="N9" s="78">
        <v>9</v>
      </c>
      <c r="O9" s="78">
        <v>8</v>
      </c>
      <c r="P9" s="78">
        <v>7</v>
      </c>
      <c r="Q9" s="78">
        <v>8</v>
      </c>
      <c r="R9" s="78">
        <v>0</v>
      </c>
      <c r="S9" s="78">
        <v>0</v>
      </c>
      <c r="T9" s="78">
        <v>1</v>
      </c>
      <c r="U9" s="78">
        <v>6</v>
      </c>
      <c r="V9" s="78">
        <v>5</v>
      </c>
    </row>
    <row r="10" spans="1:22" x14ac:dyDescent="0.2">
      <c r="A10" s="7" t="s">
        <v>1</v>
      </c>
      <c r="B10" s="78">
        <v>8</v>
      </c>
      <c r="C10" s="78">
        <v>6</v>
      </c>
      <c r="D10" s="78">
        <v>6</v>
      </c>
      <c r="E10" s="78">
        <v>8</v>
      </c>
      <c r="F10" s="78">
        <v>6</v>
      </c>
      <c r="G10" s="78">
        <v>6</v>
      </c>
      <c r="H10" s="78">
        <v>9</v>
      </c>
      <c r="I10" s="78">
        <v>9</v>
      </c>
      <c r="J10" s="78">
        <v>9</v>
      </c>
      <c r="K10" s="78">
        <v>6</v>
      </c>
      <c r="L10" s="78">
        <v>9</v>
      </c>
      <c r="M10" s="78">
        <v>10</v>
      </c>
      <c r="N10" s="78">
        <v>10</v>
      </c>
      <c r="O10" s="78">
        <v>10</v>
      </c>
      <c r="P10" s="78">
        <v>10</v>
      </c>
      <c r="Q10" s="78">
        <v>7</v>
      </c>
      <c r="R10" s="78">
        <v>0</v>
      </c>
      <c r="S10" s="78">
        <v>2</v>
      </c>
      <c r="T10" s="78">
        <v>4</v>
      </c>
      <c r="U10" s="78">
        <v>7</v>
      </c>
      <c r="V10" s="78">
        <v>10</v>
      </c>
    </row>
    <row r="11" spans="1:22" x14ac:dyDescent="0.2">
      <c r="A11" s="7" t="s">
        <v>74</v>
      </c>
      <c r="B11" s="78">
        <v>7</v>
      </c>
      <c r="C11" s="78">
        <v>4</v>
      </c>
      <c r="D11" s="78">
        <v>8</v>
      </c>
      <c r="E11" s="78">
        <v>4</v>
      </c>
      <c r="F11" s="78">
        <v>7</v>
      </c>
      <c r="G11" s="78">
        <v>6</v>
      </c>
      <c r="H11" s="78">
        <v>6</v>
      </c>
      <c r="I11" s="78">
        <v>7</v>
      </c>
      <c r="J11" s="78">
        <v>6</v>
      </c>
      <c r="K11" s="78">
        <v>5</v>
      </c>
      <c r="L11" s="78">
        <v>7</v>
      </c>
      <c r="M11" s="78">
        <v>7</v>
      </c>
      <c r="N11" s="78">
        <v>7</v>
      </c>
      <c r="O11" s="78">
        <v>7</v>
      </c>
      <c r="P11" s="78">
        <v>6</v>
      </c>
      <c r="Q11" s="78">
        <v>8</v>
      </c>
      <c r="R11" s="78">
        <v>0</v>
      </c>
      <c r="S11" s="78">
        <v>4</v>
      </c>
      <c r="T11" s="78">
        <v>7</v>
      </c>
      <c r="U11" s="78">
        <v>6</v>
      </c>
      <c r="V11" s="78">
        <v>6</v>
      </c>
    </row>
    <row r="12" spans="1:22" x14ac:dyDescent="0.2">
      <c r="A12" s="7" t="s">
        <v>5</v>
      </c>
      <c r="B12" s="78">
        <v>0</v>
      </c>
      <c r="C12" s="78">
        <v>0</v>
      </c>
      <c r="D12" s="78">
        <v>0</v>
      </c>
      <c r="E12" s="78">
        <v>0</v>
      </c>
      <c r="F12" s="78">
        <v>0</v>
      </c>
      <c r="G12" s="78">
        <v>0</v>
      </c>
      <c r="H12" s="78">
        <v>0</v>
      </c>
      <c r="I12" s="78">
        <v>0</v>
      </c>
      <c r="J12" s="78">
        <v>0</v>
      </c>
      <c r="K12" s="78">
        <v>0</v>
      </c>
      <c r="L12" s="78">
        <v>0</v>
      </c>
      <c r="M12" s="78">
        <v>0</v>
      </c>
      <c r="N12" s="78">
        <v>0</v>
      </c>
      <c r="O12" s="78">
        <v>0</v>
      </c>
      <c r="P12" s="78">
        <v>0</v>
      </c>
      <c r="Q12" s="78">
        <v>0</v>
      </c>
      <c r="R12" s="78">
        <v>0</v>
      </c>
      <c r="S12" s="78">
        <v>0</v>
      </c>
      <c r="T12" s="78">
        <v>0</v>
      </c>
      <c r="U12" s="78">
        <v>0</v>
      </c>
      <c r="V12" s="78">
        <v>0</v>
      </c>
    </row>
    <row r="13" spans="1:22" x14ac:dyDescent="0.2">
      <c r="A13" s="7" t="s">
        <v>77</v>
      </c>
      <c r="B13" s="78">
        <v>14</v>
      </c>
      <c r="C13" s="78">
        <v>15</v>
      </c>
      <c r="D13" s="78">
        <v>15</v>
      </c>
      <c r="E13" s="78">
        <v>17</v>
      </c>
      <c r="F13" s="78">
        <v>16</v>
      </c>
      <c r="G13" s="78">
        <v>16</v>
      </c>
      <c r="H13" s="78">
        <v>16</v>
      </c>
      <c r="I13" s="78">
        <v>17</v>
      </c>
      <c r="J13" s="78">
        <v>17</v>
      </c>
      <c r="K13" s="78">
        <v>17</v>
      </c>
      <c r="L13" s="78">
        <v>17</v>
      </c>
      <c r="M13" s="78">
        <v>14</v>
      </c>
      <c r="N13" s="78">
        <v>17</v>
      </c>
      <c r="O13" s="78">
        <v>14</v>
      </c>
      <c r="P13" s="78">
        <v>13</v>
      </c>
      <c r="Q13" s="78">
        <v>17</v>
      </c>
      <c r="R13" s="78">
        <v>0</v>
      </c>
      <c r="S13" s="78">
        <v>1</v>
      </c>
      <c r="T13" s="78">
        <v>10</v>
      </c>
      <c r="U13" s="78">
        <v>12</v>
      </c>
      <c r="V13" s="78">
        <v>8</v>
      </c>
    </row>
    <row r="14" spans="1:22" x14ac:dyDescent="0.2">
      <c r="A14" s="7" t="s">
        <v>78</v>
      </c>
      <c r="B14" s="78">
        <v>11</v>
      </c>
      <c r="C14" s="78">
        <v>7</v>
      </c>
      <c r="D14" s="78">
        <v>9</v>
      </c>
      <c r="E14" s="78">
        <v>7</v>
      </c>
      <c r="F14" s="78">
        <v>12</v>
      </c>
      <c r="G14" s="78">
        <v>12</v>
      </c>
      <c r="H14" s="78">
        <v>13</v>
      </c>
      <c r="I14" s="78">
        <v>13</v>
      </c>
      <c r="J14" s="78">
        <v>13</v>
      </c>
      <c r="K14" s="78">
        <v>10</v>
      </c>
      <c r="L14" s="78">
        <v>12</v>
      </c>
      <c r="M14" s="78">
        <v>13</v>
      </c>
      <c r="N14" s="78">
        <v>13</v>
      </c>
      <c r="O14" s="78">
        <v>13</v>
      </c>
      <c r="P14" s="78">
        <v>12</v>
      </c>
      <c r="Q14" s="78">
        <v>13</v>
      </c>
      <c r="R14" s="78">
        <v>1</v>
      </c>
      <c r="S14" s="78">
        <v>3</v>
      </c>
      <c r="T14" s="78">
        <v>4</v>
      </c>
      <c r="U14" s="78">
        <v>7</v>
      </c>
      <c r="V14" s="78">
        <v>5</v>
      </c>
    </row>
    <row r="15" spans="1:22" x14ac:dyDescent="0.2">
      <c r="A15" s="7" t="s">
        <v>2</v>
      </c>
      <c r="B15" s="78">
        <v>70</v>
      </c>
      <c r="C15" s="78">
        <v>62</v>
      </c>
      <c r="D15" s="78">
        <v>75</v>
      </c>
      <c r="E15" s="78">
        <v>60</v>
      </c>
      <c r="F15" s="78">
        <v>60</v>
      </c>
      <c r="G15" s="78">
        <v>61</v>
      </c>
      <c r="H15" s="78">
        <v>63</v>
      </c>
      <c r="I15" s="78">
        <v>61</v>
      </c>
      <c r="J15" s="78">
        <v>66</v>
      </c>
      <c r="K15" s="78">
        <v>60</v>
      </c>
      <c r="L15" s="78">
        <v>63</v>
      </c>
      <c r="M15" s="78">
        <v>59</v>
      </c>
      <c r="N15" s="78">
        <v>61</v>
      </c>
      <c r="O15" s="78">
        <v>56</v>
      </c>
      <c r="P15" s="78">
        <v>61</v>
      </c>
      <c r="Q15" s="78">
        <v>62</v>
      </c>
      <c r="R15" s="78">
        <v>12</v>
      </c>
      <c r="S15" s="78">
        <v>20</v>
      </c>
      <c r="T15" s="78">
        <v>44</v>
      </c>
      <c r="U15" s="78">
        <v>56</v>
      </c>
      <c r="V15" s="78">
        <v>54</v>
      </c>
    </row>
    <row r="16" spans="1:22" x14ac:dyDescent="0.2">
      <c r="A16" s="7" t="s">
        <v>75</v>
      </c>
      <c r="B16" s="78">
        <v>10</v>
      </c>
      <c r="C16" s="78">
        <v>7</v>
      </c>
      <c r="D16" s="78">
        <v>5</v>
      </c>
      <c r="E16" s="78">
        <v>5</v>
      </c>
      <c r="F16" s="78">
        <v>5</v>
      </c>
      <c r="G16" s="78">
        <v>7</v>
      </c>
      <c r="H16" s="78">
        <v>8</v>
      </c>
      <c r="I16" s="78">
        <v>8</v>
      </c>
      <c r="J16" s="78">
        <v>6</v>
      </c>
      <c r="K16" s="78">
        <v>8</v>
      </c>
      <c r="L16" s="78">
        <v>7</v>
      </c>
      <c r="M16" s="78">
        <v>7</v>
      </c>
      <c r="N16" s="78">
        <v>6</v>
      </c>
      <c r="O16" s="78">
        <v>6</v>
      </c>
      <c r="P16" s="78">
        <v>6</v>
      </c>
      <c r="Q16" s="78">
        <v>6</v>
      </c>
      <c r="R16" s="78">
        <v>0</v>
      </c>
      <c r="S16" s="78">
        <v>2</v>
      </c>
      <c r="T16" s="78">
        <v>3</v>
      </c>
      <c r="U16" s="78">
        <v>6</v>
      </c>
      <c r="V16" s="78">
        <v>6</v>
      </c>
    </row>
    <row r="17" spans="1:22" x14ac:dyDescent="0.2">
      <c r="A17" s="7" t="s">
        <v>79</v>
      </c>
      <c r="B17" s="78">
        <v>11</v>
      </c>
      <c r="C17" s="78">
        <v>8</v>
      </c>
      <c r="D17" s="78">
        <v>8</v>
      </c>
      <c r="E17" s="78">
        <v>7</v>
      </c>
      <c r="F17" s="78">
        <v>8</v>
      </c>
      <c r="G17" s="78">
        <v>11</v>
      </c>
      <c r="H17" s="78">
        <v>13</v>
      </c>
      <c r="I17" s="78">
        <v>13</v>
      </c>
      <c r="J17" s="78">
        <v>11</v>
      </c>
      <c r="K17" s="78">
        <v>11</v>
      </c>
      <c r="L17" s="78">
        <v>12</v>
      </c>
      <c r="M17" s="78">
        <v>11</v>
      </c>
      <c r="N17" s="78">
        <v>11</v>
      </c>
      <c r="O17" s="78">
        <v>11</v>
      </c>
      <c r="P17" s="78">
        <v>10</v>
      </c>
      <c r="Q17" s="78">
        <v>11</v>
      </c>
      <c r="R17" s="78">
        <v>4</v>
      </c>
      <c r="S17" s="78">
        <v>5</v>
      </c>
      <c r="T17" s="78">
        <v>9</v>
      </c>
      <c r="U17" s="78">
        <v>9</v>
      </c>
      <c r="V17" s="78">
        <v>11</v>
      </c>
    </row>
    <row r="18" spans="1:22" x14ac:dyDescent="0.2">
      <c r="A18" s="7" t="s">
        <v>80</v>
      </c>
      <c r="B18" s="78">
        <v>11</v>
      </c>
      <c r="C18" s="78">
        <v>11</v>
      </c>
      <c r="D18" s="78">
        <v>12</v>
      </c>
      <c r="E18" s="78">
        <v>14</v>
      </c>
      <c r="F18" s="78">
        <v>12</v>
      </c>
      <c r="G18" s="78">
        <v>12</v>
      </c>
      <c r="H18" s="78">
        <v>12</v>
      </c>
      <c r="I18" s="78">
        <v>13</v>
      </c>
      <c r="J18" s="78">
        <v>12</v>
      </c>
      <c r="K18" s="78">
        <v>14</v>
      </c>
      <c r="L18" s="78">
        <v>14</v>
      </c>
      <c r="M18" s="78">
        <v>15</v>
      </c>
      <c r="N18" s="78">
        <v>15</v>
      </c>
      <c r="O18" s="78">
        <v>14</v>
      </c>
      <c r="P18" s="78">
        <v>13</v>
      </c>
      <c r="Q18" s="78">
        <v>15</v>
      </c>
      <c r="R18" s="78">
        <v>4</v>
      </c>
      <c r="S18" s="78">
        <v>6</v>
      </c>
      <c r="T18" s="78">
        <v>10</v>
      </c>
      <c r="U18" s="78">
        <v>12</v>
      </c>
      <c r="V18" s="78">
        <v>12</v>
      </c>
    </row>
    <row r="19" spans="1:22" x14ac:dyDescent="0.2">
      <c r="A19" s="7" t="s">
        <v>3</v>
      </c>
      <c r="B19" s="78">
        <v>8</v>
      </c>
      <c r="C19" s="78">
        <v>7</v>
      </c>
      <c r="D19" s="78">
        <v>10</v>
      </c>
      <c r="E19" s="78">
        <v>7</v>
      </c>
      <c r="F19" s="78">
        <v>8</v>
      </c>
      <c r="G19" s="78">
        <v>7</v>
      </c>
      <c r="H19" s="78">
        <v>10</v>
      </c>
      <c r="I19" s="78">
        <v>11</v>
      </c>
      <c r="J19" s="78">
        <v>8</v>
      </c>
      <c r="K19" s="78">
        <v>7</v>
      </c>
      <c r="L19" s="78">
        <v>12</v>
      </c>
      <c r="M19" s="78">
        <v>10</v>
      </c>
      <c r="N19" s="78">
        <v>9</v>
      </c>
      <c r="O19" s="78">
        <v>10</v>
      </c>
      <c r="P19" s="78">
        <v>8</v>
      </c>
      <c r="Q19" s="78">
        <v>8</v>
      </c>
      <c r="R19" s="78">
        <v>0</v>
      </c>
      <c r="S19" s="78">
        <v>4</v>
      </c>
      <c r="T19" s="78">
        <v>8</v>
      </c>
      <c r="U19" s="78">
        <v>7</v>
      </c>
      <c r="V19" s="78">
        <v>9</v>
      </c>
    </row>
    <row r="20" spans="1:22" x14ac:dyDescent="0.2">
      <c r="A20" s="7" t="s">
        <v>4</v>
      </c>
      <c r="B20" s="78">
        <v>21</v>
      </c>
      <c r="C20" s="78">
        <v>18</v>
      </c>
      <c r="D20" s="78">
        <v>18</v>
      </c>
      <c r="E20" s="78">
        <v>18</v>
      </c>
      <c r="F20" s="78">
        <v>17</v>
      </c>
      <c r="G20" s="78">
        <v>21</v>
      </c>
      <c r="H20" s="78">
        <v>21</v>
      </c>
      <c r="I20" s="78">
        <v>22</v>
      </c>
      <c r="J20" s="78">
        <v>22</v>
      </c>
      <c r="K20" s="78">
        <v>22</v>
      </c>
      <c r="L20" s="78">
        <v>20</v>
      </c>
      <c r="M20" s="78">
        <v>20</v>
      </c>
      <c r="N20" s="78">
        <v>20</v>
      </c>
      <c r="O20" s="78">
        <v>19</v>
      </c>
      <c r="P20" s="78">
        <v>21</v>
      </c>
      <c r="Q20" s="78">
        <v>21</v>
      </c>
      <c r="R20" s="78">
        <v>6</v>
      </c>
      <c r="S20" s="78">
        <v>10</v>
      </c>
      <c r="T20" s="78">
        <v>21</v>
      </c>
      <c r="U20" s="78">
        <v>22</v>
      </c>
      <c r="V20" s="78">
        <v>23</v>
      </c>
    </row>
    <row r="21" spans="1:22" s="48" customFormat="1" x14ac:dyDescent="0.2">
      <c r="A21" s="49" t="s">
        <v>0</v>
      </c>
      <c r="B21" s="70">
        <v>205</v>
      </c>
      <c r="C21" s="70">
        <v>171</v>
      </c>
      <c r="D21" s="70">
        <v>193</v>
      </c>
      <c r="E21" s="70">
        <v>164</v>
      </c>
      <c r="F21" s="70">
        <v>177</v>
      </c>
      <c r="G21" s="70">
        <v>189</v>
      </c>
      <c r="H21" s="70">
        <v>200</v>
      </c>
      <c r="I21" s="70">
        <v>205</v>
      </c>
      <c r="J21" s="70">
        <v>194</v>
      </c>
      <c r="K21" s="70">
        <v>189</v>
      </c>
      <c r="L21" s="70">
        <v>210</v>
      </c>
      <c r="M21" s="70">
        <v>203</v>
      </c>
      <c r="N21" s="70">
        <v>207</v>
      </c>
      <c r="O21" s="70">
        <v>198</v>
      </c>
      <c r="P21" s="70">
        <v>197</v>
      </c>
      <c r="Q21" s="70">
        <v>206</v>
      </c>
      <c r="R21" s="70">
        <v>33</v>
      </c>
      <c r="S21" s="70">
        <v>65</v>
      </c>
      <c r="T21" s="70">
        <v>142</v>
      </c>
      <c r="U21" s="70">
        <v>179</v>
      </c>
      <c r="V21" s="70">
        <v>175</v>
      </c>
    </row>
  </sheetData>
  <hyperlinks>
    <hyperlink ref="A2" location="Sommaire!A1" display="Retour au menu &quot;Exploitation des films&quot;" xr:uid="{00000000-0004-0000-2800-000000000000}"/>
  </hyperlinks>
  <pageMargins left="0.78740157499999996" right="0.78740157499999996" top="0.984251969" bottom="0.984251969" header="0.4921259845" footer="0.492125984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V21"/>
  <sheetViews>
    <sheetView workbookViewId="0"/>
  </sheetViews>
  <sheetFormatPr baseColWidth="10" defaultColWidth="5.5703125" defaultRowHeight="12" x14ac:dyDescent="0.2"/>
  <cols>
    <col min="1" max="1" width="29.85546875" style="46" customWidth="1"/>
    <col min="2" max="2" width="5.42578125" style="46" bestFit="1" customWidth="1"/>
    <col min="3" max="16" width="5.42578125" style="47" bestFit="1" customWidth="1"/>
    <col min="17" max="17" width="5.4257812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101</v>
      </c>
    </row>
    <row r="6" spans="1:22" ht="3" customHeight="1" x14ac:dyDescent="0.2"/>
    <row r="7" spans="1:22" s="48" customFormat="1" x14ac:dyDescent="0.2">
      <c r="A7" s="5"/>
      <c r="B7" s="6" t="s">
        <v>37</v>
      </c>
      <c r="C7" s="6" t="s">
        <v>38</v>
      </c>
      <c r="D7" s="6" t="s">
        <v>39</v>
      </c>
      <c r="E7" s="6" t="s">
        <v>40</v>
      </c>
      <c r="F7" s="6" t="s">
        <v>41</v>
      </c>
      <c r="G7" s="6" t="s">
        <v>42</v>
      </c>
      <c r="H7" s="6" t="s">
        <v>43</v>
      </c>
      <c r="I7" s="6" t="s">
        <v>44</v>
      </c>
      <c r="J7" s="6" t="s">
        <v>45</v>
      </c>
      <c r="K7" s="6" t="s">
        <v>54</v>
      </c>
      <c r="L7" s="6" t="s">
        <v>55</v>
      </c>
      <c r="M7" s="6" t="s">
        <v>76</v>
      </c>
      <c r="N7" s="6" t="s">
        <v>81</v>
      </c>
      <c r="O7" s="6" t="s">
        <v>82</v>
      </c>
      <c r="P7" s="6" t="s">
        <v>113</v>
      </c>
      <c r="Q7" s="6" t="s">
        <v>114</v>
      </c>
      <c r="R7" s="6" t="s">
        <v>115</v>
      </c>
      <c r="S7" s="6" t="s">
        <v>116</v>
      </c>
      <c r="T7" s="6" t="s">
        <v>117</v>
      </c>
      <c r="U7" s="6" t="s">
        <v>118</v>
      </c>
      <c r="V7" s="6" t="s">
        <v>119</v>
      </c>
    </row>
    <row r="8" spans="1:22" x14ac:dyDescent="0.2">
      <c r="A8" s="7" t="s">
        <v>72</v>
      </c>
      <c r="B8" s="8">
        <v>203</v>
      </c>
      <c r="C8" s="8">
        <v>169</v>
      </c>
      <c r="D8" s="8">
        <v>180</v>
      </c>
      <c r="E8" s="8">
        <v>155</v>
      </c>
      <c r="F8" s="8">
        <v>178</v>
      </c>
      <c r="G8" s="8">
        <v>204</v>
      </c>
      <c r="H8" s="8">
        <v>206</v>
      </c>
      <c r="I8" s="8">
        <v>213</v>
      </c>
      <c r="J8" s="8">
        <v>202</v>
      </c>
      <c r="K8" s="8">
        <v>240</v>
      </c>
      <c r="L8" s="8">
        <v>262</v>
      </c>
      <c r="M8" s="8">
        <v>273</v>
      </c>
      <c r="N8" s="8">
        <v>275</v>
      </c>
      <c r="O8" s="8">
        <v>286</v>
      </c>
      <c r="P8" s="8">
        <v>286</v>
      </c>
      <c r="Q8" s="8">
        <v>286</v>
      </c>
      <c r="R8" s="8">
        <v>75</v>
      </c>
      <c r="S8" s="8">
        <v>99</v>
      </c>
      <c r="T8" s="8">
        <v>205</v>
      </c>
      <c r="U8" s="8">
        <v>278</v>
      </c>
      <c r="V8" s="8">
        <v>256</v>
      </c>
    </row>
    <row r="9" spans="1:22" x14ac:dyDescent="0.2">
      <c r="A9" s="7" t="s">
        <v>73</v>
      </c>
      <c r="B9" s="8">
        <v>67</v>
      </c>
      <c r="C9" s="8">
        <v>56</v>
      </c>
      <c r="D9" s="8">
        <v>56</v>
      </c>
      <c r="E9" s="8">
        <v>22</v>
      </c>
      <c r="F9" s="8">
        <v>71</v>
      </c>
      <c r="G9" s="8">
        <v>81</v>
      </c>
      <c r="H9" s="8">
        <v>76</v>
      </c>
      <c r="I9" s="8">
        <v>76</v>
      </c>
      <c r="J9" s="8">
        <v>57</v>
      </c>
      <c r="K9" s="8">
        <v>45</v>
      </c>
      <c r="L9" s="8">
        <v>81</v>
      </c>
      <c r="M9" s="8">
        <v>79</v>
      </c>
      <c r="N9" s="8">
        <v>84</v>
      </c>
      <c r="O9" s="8">
        <v>74</v>
      </c>
      <c r="P9" s="8">
        <v>69</v>
      </c>
      <c r="Q9" s="8">
        <v>81</v>
      </c>
      <c r="R9" s="8">
        <v>0</v>
      </c>
      <c r="S9" s="8">
        <v>0</v>
      </c>
      <c r="T9" s="8">
        <v>12</v>
      </c>
      <c r="U9" s="8">
        <v>52</v>
      </c>
      <c r="V9" s="8">
        <v>40</v>
      </c>
    </row>
    <row r="10" spans="1:22" x14ac:dyDescent="0.2">
      <c r="A10" s="7" t="s">
        <v>1</v>
      </c>
      <c r="B10" s="8">
        <v>55</v>
      </c>
      <c r="C10" s="8">
        <v>61</v>
      </c>
      <c r="D10" s="8">
        <v>58</v>
      </c>
      <c r="E10" s="8">
        <v>66</v>
      </c>
      <c r="F10" s="8">
        <v>63</v>
      </c>
      <c r="G10" s="8">
        <v>67</v>
      </c>
      <c r="H10" s="8">
        <v>77</v>
      </c>
      <c r="I10" s="8">
        <v>77</v>
      </c>
      <c r="J10" s="8">
        <v>77</v>
      </c>
      <c r="K10" s="8">
        <v>67</v>
      </c>
      <c r="L10" s="8">
        <v>77</v>
      </c>
      <c r="M10" s="8">
        <v>89</v>
      </c>
      <c r="N10" s="8">
        <v>90</v>
      </c>
      <c r="O10" s="8">
        <v>90</v>
      </c>
      <c r="P10" s="8">
        <v>90</v>
      </c>
      <c r="Q10" s="8">
        <v>80</v>
      </c>
      <c r="R10" s="8">
        <v>0</v>
      </c>
      <c r="S10" s="8">
        <v>18</v>
      </c>
      <c r="T10" s="8">
        <v>42</v>
      </c>
      <c r="U10" s="8">
        <v>75</v>
      </c>
      <c r="V10" s="8">
        <v>95</v>
      </c>
    </row>
    <row r="11" spans="1:22" x14ac:dyDescent="0.2">
      <c r="A11" s="7" t="s">
        <v>74</v>
      </c>
      <c r="B11" s="8">
        <v>55</v>
      </c>
      <c r="C11" s="8">
        <v>35</v>
      </c>
      <c r="D11" s="8">
        <v>62</v>
      </c>
      <c r="E11" s="8">
        <v>36</v>
      </c>
      <c r="F11" s="8">
        <v>57</v>
      </c>
      <c r="G11" s="8">
        <v>57</v>
      </c>
      <c r="H11" s="8">
        <v>57</v>
      </c>
      <c r="I11" s="8">
        <v>67</v>
      </c>
      <c r="J11" s="8">
        <v>57</v>
      </c>
      <c r="K11" s="8">
        <v>48</v>
      </c>
      <c r="L11" s="8">
        <v>70</v>
      </c>
      <c r="M11" s="8">
        <v>70</v>
      </c>
      <c r="N11" s="8">
        <v>70</v>
      </c>
      <c r="O11" s="8">
        <v>72</v>
      </c>
      <c r="P11" s="8">
        <v>60</v>
      </c>
      <c r="Q11" s="8">
        <v>82</v>
      </c>
      <c r="R11" s="8">
        <v>0</v>
      </c>
      <c r="S11" s="8">
        <v>37</v>
      </c>
      <c r="T11" s="8">
        <v>63</v>
      </c>
      <c r="U11" s="8">
        <v>59</v>
      </c>
      <c r="V11" s="8">
        <v>59</v>
      </c>
    </row>
    <row r="12" spans="1:22" x14ac:dyDescent="0.2">
      <c r="A12" s="7" t="s">
        <v>5</v>
      </c>
      <c r="B12" s="8">
        <v>0</v>
      </c>
      <c r="C12" s="8">
        <v>0</v>
      </c>
      <c r="D12" s="8">
        <v>0</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row>
    <row r="13" spans="1:22" x14ac:dyDescent="0.2">
      <c r="A13" s="7" t="s">
        <v>77</v>
      </c>
      <c r="B13" s="8">
        <v>137</v>
      </c>
      <c r="C13" s="8">
        <v>147</v>
      </c>
      <c r="D13" s="8">
        <v>147</v>
      </c>
      <c r="E13" s="8">
        <v>169</v>
      </c>
      <c r="F13" s="8">
        <v>160</v>
      </c>
      <c r="G13" s="8">
        <v>160</v>
      </c>
      <c r="H13" s="8">
        <v>160</v>
      </c>
      <c r="I13" s="8">
        <v>172</v>
      </c>
      <c r="J13" s="8">
        <v>169</v>
      </c>
      <c r="K13" s="8">
        <v>169</v>
      </c>
      <c r="L13" s="8">
        <v>169</v>
      </c>
      <c r="M13" s="8">
        <v>155</v>
      </c>
      <c r="N13" s="8">
        <v>175</v>
      </c>
      <c r="O13" s="8">
        <v>162</v>
      </c>
      <c r="P13" s="8">
        <v>156</v>
      </c>
      <c r="Q13" s="8">
        <v>182</v>
      </c>
      <c r="R13" s="8">
        <v>0</v>
      </c>
      <c r="S13" s="8">
        <v>22</v>
      </c>
      <c r="T13" s="8">
        <v>92</v>
      </c>
      <c r="U13" s="8">
        <v>139</v>
      </c>
      <c r="V13" s="8">
        <v>89</v>
      </c>
    </row>
    <row r="14" spans="1:22" x14ac:dyDescent="0.2">
      <c r="A14" s="7" t="s">
        <v>78</v>
      </c>
      <c r="B14" s="8">
        <v>142</v>
      </c>
      <c r="C14" s="8">
        <v>108</v>
      </c>
      <c r="D14" s="8">
        <v>130</v>
      </c>
      <c r="E14" s="8">
        <v>108</v>
      </c>
      <c r="F14" s="8">
        <v>163</v>
      </c>
      <c r="G14" s="8">
        <v>163</v>
      </c>
      <c r="H14" s="8">
        <v>175</v>
      </c>
      <c r="I14" s="8">
        <v>175</v>
      </c>
      <c r="J14" s="8">
        <v>175</v>
      </c>
      <c r="K14" s="8">
        <v>142</v>
      </c>
      <c r="L14" s="8">
        <v>166</v>
      </c>
      <c r="M14" s="8">
        <v>180</v>
      </c>
      <c r="N14" s="8">
        <v>180</v>
      </c>
      <c r="O14" s="8">
        <v>180</v>
      </c>
      <c r="P14" s="8">
        <v>170</v>
      </c>
      <c r="Q14" s="8">
        <v>182</v>
      </c>
      <c r="R14" s="8">
        <v>23</v>
      </c>
      <c r="S14" s="8">
        <v>43</v>
      </c>
      <c r="T14" s="8">
        <v>61</v>
      </c>
      <c r="U14" s="8">
        <v>102</v>
      </c>
      <c r="V14" s="8">
        <v>73</v>
      </c>
    </row>
    <row r="15" spans="1:22" x14ac:dyDescent="0.2">
      <c r="A15" s="7" t="s">
        <v>2</v>
      </c>
      <c r="B15" s="8">
        <v>508</v>
      </c>
      <c r="C15" s="8">
        <v>459</v>
      </c>
      <c r="D15" s="8">
        <v>521</v>
      </c>
      <c r="E15" s="8">
        <v>485</v>
      </c>
      <c r="F15" s="8">
        <v>497</v>
      </c>
      <c r="G15" s="8">
        <v>509</v>
      </c>
      <c r="H15" s="8">
        <v>522</v>
      </c>
      <c r="I15" s="8">
        <v>511</v>
      </c>
      <c r="J15" s="8">
        <v>529</v>
      </c>
      <c r="K15" s="8">
        <v>504</v>
      </c>
      <c r="L15" s="8">
        <v>545</v>
      </c>
      <c r="M15" s="8">
        <v>531</v>
      </c>
      <c r="N15" s="8">
        <v>553</v>
      </c>
      <c r="O15" s="8">
        <v>547</v>
      </c>
      <c r="P15" s="8">
        <v>556</v>
      </c>
      <c r="Q15" s="8">
        <v>608</v>
      </c>
      <c r="R15" s="8">
        <v>164</v>
      </c>
      <c r="S15" s="8">
        <v>245</v>
      </c>
      <c r="T15" s="8">
        <v>463</v>
      </c>
      <c r="U15" s="8">
        <v>549</v>
      </c>
      <c r="V15" s="8">
        <v>534</v>
      </c>
    </row>
    <row r="16" spans="1:22" x14ac:dyDescent="0.2">
      <c r="A16" s="7" t="s">
        <v>75</v>
      </c>
      <c r="B16" s="8">
        <v>89</v>
      </c>
      <c r="C16" s="8">
        <v>73</v>
      </c>
      <c r="D16" s="8">
        <v>62</v>
      </c>
      <c r="E16" s="8">
        <v>62</v>
      </c>
      <c r="F16" s="8">
        <v>62</v>
      </c>
      <c r="G16" s="8">
        <v>76</v>
      </c>
      <c r="H16" s="8">
        <v>88</v>
      </c>
      <c r="I16" s="8">
        <v>88</v>
      </c>
      <c r="J16" s="8">
        <v>78</v>
      </c>
      <c r="K16" s="8">
        <v>91</v>
      </c>
      <c r="L16" s="8">
        <v>88</v>
      </c>
      <c r="M16" s="8">
        <v>88</v>
      </c>
      <c r="N16" s="8">
        <v>74</v>
      </c>
      <c r="O16" s="8">
        <v>74</v>
      </c>
      <c r="P16" s="8">
        <v>74</v>
      </c>
      <c r="Q16" s="8">
        <v>74</v>
      </c>
      <c r="R16" s="8">
        <v>0</v>
      </c>
      <c r="S16" s="8">
        <v>28</v>
      </c>
      <c r="T16" s="8">
        <v>40</v>
      </c>
      <c r="U16" s="8">
        <v>69</v>
      </c>
      <c r="V16" s="8">
        <v>69</v>
      </c>
    </row>
    <row r="17" spans="1:22" x14ac:dyDescent="0.2">
      <c r="A17" s="7" t="s">
        <v>79</v>
      </c>
      <c r="B17" s="8">
        <v>139</v>
      </c>
      <c r="C17" s="8">
        <v>111</v>
      </c>
      <c r="D17" s="8">
        <v>111</v>
      </c>
      <c r="E17" s="8">
        <v>100</v>
      </c>
      <c r="F17" s="8">
        <v>111</v>
      </c>
      <c r="G17" s="8">
        <v>144</v>
      </c>
      <c r="H17" s="8">
        <v>161</v>
      </c>
      <c r="I17" s="8">
        <v>161</v>
      </c>
      <c r="J17" s="8">
        <v>145</v>
      </c>
      <c r="K17" s="8">
        <v>138</v>
      </c>
      <c r="L17" s="8">
        <v>150</v>
      </c>
      <c r="M17" s="8">
        <v>139</v>
      </c>
      <c r="N17" s="8">
        <v>127</v>
      </c>
      <c r="O17" s="8">
        <v>129</v>
      </c>
      <c r="P17" s="8">
        <v>117</v>
      </c>
      <c r="Q17" s="8">
        <v>131</v>
      </c>
      <c r="R17" s="8">
        <v>52</v>
      </c>
      <c r="S17" s="8">
        <v>65</v>
      </c>
      <c r="T17" s="8">
        <v>120</v>
      </c>
      <c r="U17" s="8">
        <v>120</v>
      </c>
      <c r="V17" s="8">
        <v>135</v>
      </c>
    </row>
    <row r="18" spans="1:22" x14ac:dyDescent="0.2">
      <c r="A18" s="7" t="s">
        <v>80</v>
      </c>
      <c r="B18" s="8">
        <v>119</v>
      </c>
      <c r="C18" s="8">
        <v>119</v>
      </c>
      <c r="D18" s="8">
        <v>131</v>
      </c>
      <c r="E18" s="8">
        <v>138</v>
      </c>
      <c r="F18" s="8">
        <v>132</v>
      </c>
      <c r="G18" s="8">
        <v>139</v>
      </c>
      <c r="H18" s="8">
        <v>139</v>
      </c>
      <c r="I18" s="8">
        <v>141</v>
      </c>
      <c r="J18" s="8">
        <v>129</v>
      </c>
      <c r="K18" s="8">
        <v>135</v>
      </c>
      <c r="L18" s="8">
        <v>142</v>
      </c>
      <c r="M18" s="8">
        <v>150</v>
      </c>
      <c r="N18" s="8">
        <v>151</v>
      </c>
      <c r="O18" s="8">
        <v>141</v>
      </c>
      <c r="P18" s="8">
        <v>130</v>
      </c>
      <c r="Q18" s="8">
        <v>145</v>
      </c>
      <c r="R18" s="8">
        <v>41</v>
      </c>
      <c r="S18" s="8">
        <v>77</v>
      </c>
      <c r="T18" s="8">
        <v>119</v>
      </c>
      <c r="U18" s="8">
        <v>120</v>
      </c>
      <c r="V18" s="8">
        <v>117</v>
      </c>
    </row>
    <row r="19" spans="1:22" x14ac:dyDescent="0.2">
      <c r="A19" s="7" t="s">
        <v>3</v>
      </c>
      <c r="B19" s="8">
        <v>85</v>
      </c>
      <c r="C19" s="8">
        <v>76</v>
      </c>
      <c r="D19" s="8">
        <v>97</v>
      </c>
      <c r="E19" s="8">
        <v>76</v>
      </c>
      <c r="F19" s="8">
        <v>85</v>
      </c>
      <c r="G19" s="8">
        <v>80</v>
      </c>
      <c r="H19" s="8">
        <v>101</v>
      </c>
      <c r="I19" s="8">
        <v>110</v>
      </c>
      <c r="J19" s="8">
        <v>89</v>
      </c>
      <c r="K19" s="8">
        <v>80</v>
      </c>
      <c r="L19" s="8">
        <v>120</v>
      </c>
      <c r="M19" s="8">
        <v>109</v>
      </c>
      <c r="N19" s="8">
        <v>100</v>
      </c>
      <c r="O19" s="8">
        <v>109</v>
      </c>
      <c r="P19" s="8">
        <v>88</v>
      </c>
      <c r="Q19" s="8">
        <v>88</v>
      </c>
      <c r="R19" s="8">
        <v>0</v>
      </c>
      <c r="S19" s="8">
        <v>45</v>
      </c>
      <c r="T19" s="8">
        <v>73</v>
      </c>
      <c r="U19" s="8">
        <v>75</v>
      </c>
      <c r="V19" s="8">
        <v>93</v>
      </c>
    </row>
    <row r="20" spans="1:22" x14ac:dyDescent="0.2">
      <c r="A20" s="7" t="s">
        <v>4</v>
      </c>
      <c r="B20" s="8">
        <v>157</v>
      </c>
      <c r="C20" s="8">
        <v>145</v>
      </c>
      <c r="D20" s="8">
        <v>145</v>
      </c>
      <c r="E20" s="8">
        <v>145</v>
      </c>
      <c r="F20" s="8">
        <v>137</v>
      </c>
      <c r="G20" s="8">
        <v>153</v>
      </c>
      <c r="H20" s="8">
        <v>161</v>
      </c>
      <c r="I20" s="8">
        <v>165</v>
      </c>
      <c r="J20" s="8">
        <v>167</v>
      </c>
      <c r="K20" s="8">
        <v>172</v>
      </c>
      <c r="L20" s="8">
        <v>163</v>
      </c>
      <c r="M20" s="8">
        <v>163</v>
      </c>
      <c r="N20" s="8">
        <v>172</v>
      </c>
      <c r="O20" s="8">
        <v>168</v>
      </c>
      <c r="P20" s="8">
        <v>182</v>
      </c>
      <c r="Q20" s="8">
        <v>193</v>
      </c>
      <c r="R20" s="8">
        <v>65</v>
      </c>
      <c r="S20" s="8">
        <v>112</v>
      </c>
      <c r="T20" s="8">
        <v>189</v>
      </c>
      <c r="U20" s="8">
        <v>201</v>
      </c>
      <c r="V20" s="8">
        <v>205</v>
      </c>
    </row>
    <row r="21" spans="1:22" s="48" customFormat="1" x14ac:dyDescent="0.2">
      <c r="A21" s="49" t="s">
        <v>0</v>
      </c>
      <c r="B21" s="70">
        <v>1756</v>
      </c>
      <c r="C21" s="70">
        <v>1559</v>
      </c>
      <c r="D21" s="70">
        <v>1700</v>
      </c>
      <c r="E21" s="70">
        <v>1562</v>
      </c>
      <c r="F21" s="70">
        <v>1716</v>
      </c>
      <c r="G21" s="70">
        <v>1833</v>
      </c>
      <c r="H21" s="70">
        <v>1923</v>
      </c>
      <c r="I21" s="70">
        <v>1956</v>
      </c>
      <c r="J21" s="70">
        <v>1874</v>
      </c>
      <c r="K21" s="70">
        <v>1831</v>
      </c>
      <c r="L21" s="70">
        <v>2033</v>
      </c>
      <c r="M21" s="70">
        <v>2026</v>
      </c>
      <c r="N21" s="70">
        <v>2051</v>
      </c>
      <c r="O21" s="70">
        <v>2032</v>
      </c>
      <c r="P21" s="70">
        <v>1978</v>
      </c>
      <c r="Q21" s="70">
        <v>2132</v>
      </c>
      <c r="R21" s="70">
        <v>420</v>
      </c>
      <c r="S21" s="70">
        <v>791</v>
      </c>
      <c r="T21" s="70">
        <v>1479</v>
      </c>
      <c r="U21" s="70">
        <v>1839</v>
      </c>
      <c r="V21" s="70">
        <v>1765</v>
      </c>
    </row>
  </sheetData>
  <phoneticPr fontId="21" type="noConversion"/>
  <hyperlinks>
    <hyperlink ref="A2" location="Sommaire!A1" display="Retour au menu &quot;Exploitation des films&quot;" xr:uid="{00000000-0004-0000-2900-000000000000}"/>
  </hyperlinks>
  <pageMargins left="0.78740157499999996" right="0.78740157499999996" top="0.984251969" bottom="0.984251969" header="0.4921259845" footer="0.492125984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V21"/>
  <sheetViews>
    <sheetView workbookViewId="0"/>
  </sheetViews>
  <sheetFormatPr baseColWidth="10" defaultColWidth="5.5703125" defaultRowHeight="12" x14ac:dyDescent="0.2"/>
  <cols>
    <col min="1" max="1" width="29.85546875" style="46" customWidth="1"/>
    <col min="2" max="2" width="7.42578125" style="46" bestFit="1" customWidth="1"/>
    <col min="3" max="16" width="7.42578125" style="47" bestFit="1" customWidth="1"/>
    <col min="17" max="17" width="7.42578125" style="46" bestFit="1" customWidth="1"/>
    <col min="18" max="18" width="6.42578125" style="46" bestFit="1" customWidth="1"/>
    <col min="19" max="22" width="7.42578125" style="46" bestFit="1"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109</v>
      </c>
    </row>
    <row r="6" spans="1:22" ht="3" customHeight="1" x14ac:dyDescent="0.2"/>
    <row r="7" spans="1:22" s="48" customFormat="1" x14ac:dyDescent="0.2">
      <c r="A7" s="20"/>
      <c r="B7" s="21" t="s">
        <v>37</v>
      </c>
      <c r="C7" s="21" t="s">
        <v>38</v>
      </c>
      <c r="D7" s="21" t="s">
        <v>39</v>
      </c>
      <c r="E7" s="21" t="s">
        <v>40</v>
      </c>
      <c r="F7" s="21" t="s">
        <v>41</v>
      </c>
      <c r="G7" s="21" t="s">
        <v>42</v>
      </c>
      <c r="H7" s="21" t="s">
        <v>43</v>
      </c>
      <c r="I7" s="21" t="s">
        <v>44</v>
      </c>
      <c r="J7" s="21" t="s">
        <v>45</v>
      </c>
      <c r="K7" s="21" t="s">
        <v>54</v>
      </c>
      <c r="L7" s="21" t="s">
        <v>55</v>
      </c>
      <c r="M7" s="21" t="s">
        <v>76</v>
      </c>
      <c r="N7" s="21" t="s">
        <v>81</v>
      </c>
      <c r="O7" s="21" t="s">
        <v>82</v>
      </c>
      <c r="P7" s="21" t="s">
        <v>113</v>
      </c>
      <c r="Q7" s="21" t="s">
        <v>114</v>
      </c>
      <c r="R7" s="21" t="s">
        <v>115</v>
      </c>
      <c r="S7" s="21" t="s">
        <v>116</v>
      </c>
      <c r="T7" s="21" t="s">
        <v>117</v>
      </c>
      <c r="U7" s="21" t="s">
        <v>118</v>
      </c>
      <c r="V7" s="21" t="s">
        <v>119</v>
      </c>
    </row>
    <row r="8" spans="1:22" x14ac:dyDescent="0.2">
      <c r="A8" s="7" t="s">
        <v>72</v>
      </c>
      <c r="B8" s="23">
        <v>39223</v>
      </c>
      <c r="C8" s="23">
        <v>33294</v>
      </c>
      <c r="D8" s="23">
        <v>35396</v>
      </c>
      <c r="E8" s="23">
        <v>31578</v>
      </c>
      <c r="F8" s="23">
        <v>35995</v>
      </c>
      <c r="G8" s="23">
        <v>41292</v>
      </c>
      <c r="H8" s="23">
        <v>42356</v>
      </c>
      <c r="I8" s="23">
        <v>42951</v>
      </c>
      <c r="J8" s="23">
        <v>42519</v>
      </c>
      <c r="K8" s="23">
        <v>47996</v>
      </c>
      <c r="L8" s="23">
        <v>51338</v>
      </c>
      <c r="M8" s="23">
        <v>53332</v>
      </c>
      <c r="N8" s="23">
        <v>54199</v>
      </c>
      <c r="O8" s="23">
        <v>55542</v>
      </c>
      <c r="P8" s="23">
        <v>55021</v>
      </c>
      <c r="Q8" s="23">
        <v>55021</v>
      </c>
      <c r="R8" s="23">
        <v>14844</v>
      </c>
      <c r="S8" s="23">
        <v>19868</v>
      </c>
      <c r="T8" s="23">
        <v>39782</v>
      </c>
      <c r="U8" s="23">
        <v>52103</v>
      </c>
      <c r="V8" s="23">
        <v>48265</v>
      </c>
    </row>
    <row r="9" spans="1:22" x14ac:dyDescent="0.2">
      <c r="A9" s="7" t="s">
        <v>73</v>
      </c>
      <c r="B9" s="23">
        <v>12148</v>
      </c>
      <c r="C9" s="23">
        <v>10427</v>
      </c>
      <c r="D9" s="23">
        <v>10427</v>
      </c>
      <c r="E9" s="23">
        <v>3824</v>
      </c>
      <c r="F9" s="23">
        <v>12398</v>
      </c>
      <c r="G9" s="23">
        <v>14278</v>
      </c>
      <c r="H9" s="23">
        <v>13466</v>
      </c>
      <c r="I9" s="23">
        <v>13466</v>
      </c>
      <c r="J9" s="23">
        <v>10302</v>
      </c>
      <c r="K9" s="23">
        <v>8462</v>
      </c>
      <c r="L9" s="23">
        <v>14670</v>
      </c>
      <c r="M9" s="23">
        <v>14400</v>
      </c>
      <c r="N9" s="23">
        <v>15212</v>
      </c>
      <c r="O9" s="23">
        <v>13332</v>
      </c>
      <c r="P9" s="23">
        <v>12520</v>
      </c>
      <c r="Q9" s="23">
        <v>14157</v>
      </c>
      <c r="R9" s="23">
        <v>0</v>
      </c>
      <c r="S9" s="23">
        <v>0</v>
      </c>
      <c r="T9" s="23">
        <v>2376</v>
      </c>
      <c r="U9" s="23">
        <v>8324</v>
      </c>
      <c r="V9" s="23">
        <v>5957</v>
      </c>
    </row>
    <row r="10" spans="1:22" x14ac:dyDescent="0.2">
      <c r="A10" s="7" t="s">
        <v>1</v>
      </c>
      <c r="B10" s="23">
        <v>10769</v>
      </c>
      <c r="C10" s="23">
        <v>11713</v>
      </c>
      <c r="D10" s="23">
        <v>11370</v>
      </c>
      <c r="E10" s="23">
        <v>12973</v>
      </c>
      <c r="F10" s="23">
        <v>12548</v>
      </c>
      <c r="G10" s="23">
        <v>13339</v>
      </c>
      <c r="H10" s="23">
        <v>15159</v>
      </c>
      <c r="I10" s="23">
        <v>15159</v>
      </c>
      <c r="J10" s="23">
        <v>15159</v>
      </c>
      <c r="K10" s="23">
        <v>13339</v>
      </c>
      <c r="L10" s="23">
        <v>15159</v>
      </c>
      <c r="M10" s="23">
        <v>17465</v>
      </c>
      <c r="N10" s="23">
        <v>18048</v>
      </c>
      <c r="O10" s="23">
        <v>18048</v>
      </c>
      <c r="P10" s="23">
        <v>18326</v>
      </c>
      <c r="Q10" s="23">
        <v>16228</v>
      </c>
      <c r="R10" s="23">
        <v>0</v>
      </c>
      <c r="S10" s="23">
        <v>3567</v>
      </c>
      <c r="T10" s="23">
        <v>8032</v>
      </c>
      <c r="U10" s="23">
        <v>14662</v>
      </c>
      <c r="V10" s="23">
        <v>16342</v>
      </c>
    </row>
    <row r="11" spans="1:22" x14ac:dyDescent="0.2">
      <c r="A11" s="7" t="s">
        <v>74</v>
      </c>
      <c r="B11" s="23">
        <v>11618</v>
      </c>
      <c r="C11" s="23">
        <v>7063</v>
      </c>
      <c r="D11" s="23">
        <v>12643</v>
      </c>
      <c r="E11" s="23">
        <v>7319</v>
      </c>
      <c r="F11" s="23">
        <v>11839</v>
      </c>
      <c r="G11" s="23">
        <v>11914</v>
      </c>
      <c r="H11" s="23">
        <v>11914</v>
      </c>
      <c r="I11" s="23">
        <v>13794</v>
      </c>
      <c r="J11" s="23">
        <v>11914</v>
      </c>
      <c r="K11" s="23">
        <v>9681</v>
      </c>
      <c r="L11" s="23">
        <v>14181</v>
      </c>
      <c r="M11" s="23">
        <v>14181</v>
      </c>
      <c r="N11" s="23">
        <v>14181</v>
      </c>
      <c r="O11" s="23">
        <v>14788</v>
      </c>
      <c r="P11" s="23">
        <v>12167</v>
      </c>
      <c r="Q11" s="23">
        <v>16733</v>
      </c>
      <c r="R11" s="23">
        <v>0</v>
      </c>
      <c r="S11" s="23">
        <v>7353</v>
      </c>
      <c r="T11" s="23">
        <v>12615</v>
      </c>
      <c r="U11" s="23">
        <v>12098</v>
      </c>
      <c r="V11" s="23">
        <v>11924</v>
      </c>
    </row>
    <row r="12" spans="1:22" x14ac:dyDescent="0.2">
      <c r="A12" s="7" t="s">
        <v>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row>
    <row r="13" spans="1:22" x14ac:dyDescent="0.2">
      <c r="A13" s="7" t="s">
        <v>77</v>
      </c>
      <c r="B13" s="23">
        <v>32076</v>
      </c>
      <c r="C13" s="23">
        <v>34612</v>
      </c>
      <c r="D13" s="23">
        <v>34612</v>
      </c>
      <c r="E13" s="23">
        <v>38688</v>
      </c>
      <c r="F13" s="23">
        <v>37123</v>
      </c>
      <c r="G13" s="23">
        <v>37123</v>
      </c>
      <c r="H13" s="23">
        <v>37123</v>
      </c>
      <c r="I13" s="23">
        <v>39691</v>
      </c>
      <c r="J13" s="23">
        <v>38852</v>
      </c>
      <c r="K13" s="23">
        <v>38852</v>
      </c>
      <c r="L13" s="23">
        <v>38852</v>
      </c>
      <c r="M13" s="23">
        <v>35848</v>
      </c>
      <c r="N13" s="23">
        <v>39431</v>
      </c>
      <c r="O13" s="23">
        <v>36732</v>
      </c>
      <c r="P13" s="23">
        <v>34200</v>
      </c>
      <c r="Q13" s="23">
        <v>39516</v>
      </c>
      <c r="R13" s="23">
        <v>0</v>
      </c>
      <c r="S13" s="23">
        <v>5407</v>
      </c>
      <c r="T13" s="23">
        <v>19523</v>
      </c>
      <c r="U13" s="23">
        <v>29818</v>
      </c>
      <c r="V13" s="23">
        <v>17905</v>
      </c>
    </row>
    <row r="14" spans="1:22" x14ac:dyDescent="0.2">
      <c r="A14" s="7" t="s">
        <v>78</v>
      </c>
      <c r="B14" s="23">
        <v>33041</v>
      </c>
      <c r="C14" s="23">
        <v>26577</v>
      </c>
      <c r="D14" s="23">
        <v>30861</v>
      </c>
      <c r="E14" s="23">
        <v>26577</v>
      </c>
      <c r="F14" s="23">
        <v>37844</v>
      </c>
      <c r="G14" s="23">
        <v>37844</v>
      </c>
      <c r="H14" s="23">
        <v>40679</v>
      </c>
      <c r="I14" s="23">
        <v>40679</v>
      </c>
      <c r="J14" s="23">
        <v>40679</v>
      </c>
      <c r="K14" s="23">
        <v>33726</v>
      </c>
      <c r="L14" s="23">
        <v>38657</v>
      </c>
      <c r="M14" s="23">
        <v>41182</v>
      </c>
      <c r="N14" s="23">
        <v>41182</v>
      </c>
      <c r="O14" s="23">
        <v>41123</v>
      </c>
      <c r="P14" s="23">
        <v>38712</v>
      </c>
      <c r="Q14" s="23">
        <v>40810</v>
      </c>
      <c r="R14" s="23">
        <v>7358</v>
      </c>
      <c r="S14" s="23">
        <v>10701</v>
      </c>
      <c r="T14" s="23">
        <v>15580</v>
      </c>
      <c r="U14" s="23">
        <v>24933</v>
      </c>
      <c r="V14" s="23">
        <v>17703</v>
      </c>
    </row>
    <row r="15" spans="1:22" x14ac:dyDescent="0.2">
      <c r="A15" s="7" t="s">
        <v>2</v>
      </c>
      <c r="B15" s="23">
        <v>108405</v>
      </c>
      <c r="C15" s="23">
        <v>97801</v>
      </c>
      <c r="D15" s="23">
        <v>108589</v>
      </c>
      <c r="E15" s="23">
        <v>103707</v>
      </c>
      <c r="F15" s="23">
        <v>105875</v>
      </c>
      <c r="G15" s="23">
        <v>108132</v>
      </c>
      <c r="H15" s="23">
        <v>110597</v>
      </c>
      <c r="I15" s="23">
        <v>109062</v>
      </c>
      <c r="J15" s="23">
        <v>111597</v>
      </c>
      <c r="K15" s="23">
        <v>106903</v>
      </c>
      <c r="L15" s="23">
        <v>114983</v>
      </c>
      <c r="M15" s="23">
        <v>111859</v>
      </c>
      <c r="N15" s="23">
        <v>116833</v>
      </c>
      <c r="O15" s="23">
        <v>114925</v>
      </c>
      <c r="P15" s="23">
        <v>113489</v>
      </c>
      <c r="Q15" s="23">
        <v>125327</v>
      </c>
      <c r="R15" s="23">
        <v>29813</v>
      </c>
      <c r="S15" s="23">
        <v>51190</v>
      </c>
      <c r="T15" s="23">
        <v>91863</v>
      </c>
      <c r="U15" s="23">
        <v>106726</v>
      </c>
      <c r="V15" s="23">
        <v>97758</v>
      </c>
    </row>
    <row r="16" spans="1:22" x14ac:dyDescent="0.2">
      <c r="A16" s="7" t="s">
        <v>75</v>
      </c>
      <c r="B16" s="23">
        <v>18322</v>
      </c>
      <c r="C16" s="23">
        <v>15124</v>
      </c>
      <c r="D16" s="23">
        <v>13055</v>
      </c>
      <c r="E16" s="23">
        <v>13055</v>
      </c>
      <c r="F16" s="23">
        <v>13055</v>
      </c>
      <c r="G16" s="23">
        <v>15773</v>
      </c>
      <c r="H16" s="23">
        <v>18185</v>
      </c>
      <c r="I16" s="23">
        <v>18185</v>
      </c>
      <c r="J16" s="23">
        <v>16240</v>
      </c>
      <c r="K16" s="23">
        <v>18587</v>
      </c>
      <c r="L16" s="23">
        <v>18110</v>
      </c>
      <c r="M16" s="23">
        <v>18493</v>
      </c>
      <c r="N16" s="23">
        <v>15575</v>
      </c>
      <c r="O16" s="23">
        <v>15954</v>
      </c>
      <c r="P16" s="23">
        <v>15978</v>
      </c>
      <c r="Q16" s="23">
        <v>15978</v>
      </c>
      <c r="R16" s="23">
        <v>0</v>
      </c>
      <c r="S16" s="23">
        <v>5560</v>
      </c>
      <c r="T16" s="23">
        <v>8719</v>
      </c>
      <c r="U16" s="23">
        <v>13720</v>
      </c>
      <c r="V16" s="23">
        <v>13720</v>
      </c>
    </row>
    <row r="17" spans="1:22" x14ac:dyDescent="0.2">
      <c r="A17" s="7" t="s">
        <v>79</v>
      </c>
      <c r="B17" s="23">
        <v>24875</v>
      </c>
      <c r="C17" s="23">
        <v>20576</v>
      </c>
      <c r="D17" s="23">
        <v>20576</v>
      </c>
      <c r="E17" s="23">
        <v>18283</v>
      </c>
      <c r="F17" s="23">
        <v>20576</v>
      </c>
      <c r="G17" s="23">
        <v>26519</v>
      </c>
      <c r="H17" s="23">
        <v>28972</v>
      </c>
      <c r="I17" s="23">
        <v>28972</v>
      </c>
      <c r="J17" s="23">
        <v>26543</v>
      </c>
      <c r="K17" s="23">
        <v>25044</v>
      </c>
      <c r="L17" s="23">
        <v>27096</v>
      </c>
      <c r="M17" s="23">
        <v>24779</v>
      </c>
      <c r="N17" s="23">
        <v>22933</v>
      </c>
      <c r="O17" s="23">
        <v>23164</v>
      </c>
      <c r="P17" s="23">
        <v>21112</v>
      </c>
      <c r="Q17" s="23">
        <v>23389</v>
      </c>
      <c r="R17" s="23">
        <v>7979</v>
      </c>
      <c r="S17" s="23">
        <v>10373</v>
      </c>
      <c r="T17" s="23">
        <v>20664</v>
      </c>
      <c r="U17" s="23">
        <v>20501</v>
      </c>
      <c r="V17" s="23">
        <v>23475</v>
      </c>
    </row>
    <row r="18" spans="1:22" x14ac:dyDescent="0.2">
      <c r="A18" s="7" t="s">
        <v>80</v>
      </c>
      <c r="B18" s="23">
        <v>25683</v>
      </c>
      <c r="C18" s="23">
        <v>25669</v>
      </c>
      <c r="D18" s="23">
        <v>27660</v>
      </c>
      <c r="E18" s="23">
        <v>28613</v>
      </c>
      <c r="F18" s="23">
        <v>27781</v>
      </c>
      <c r="G18" s="23">
        <v>28730</v>
      </c>
      <c r="H18" s="23">
        <v>28730</v>
      </c>
      <c r="I18" s="23">
        <v>28940</v>
      </c>
      <c r="J18" s="23">
        <v>26949</v>
      </c>
      <c r="K18" s="23">
        <v>27781</v>
      </c>
      <c r="L18" s="23">
        <v>28919</v>
      </c>
      <c r="M18" s="23">
        <v>29386</v>
      </c>
      <c r="N18" s="23">
        <v>30005</v>
      </c>
      <c r="O18" s="23">
        <v>27506</v>
      </c>
      <c r="P18" s="23">
        <v>25848</v>
      </c>
      <c r="Q18" s="23">
        <v>27682</v>
      </c>
      <c r="R18" s="23">
        <v>8956</v>
      </c>
      <c r="S18" s="23">
        <v>16199</v>
      </c>
      <c r="T18" s="23">
        <v>23795</v>
      </c>
      <c r="U18" s="23">
        <v>23949</v>
      </c>
      <c r="V18" s="23">
        <v>23724</v>
      </c>
    </row>
    <row r="19" spans="1:22" x14ac:dyDescent="0.2">
      <c r="A19" s="7" t="s">
        <v>3</v>
      </c>
      <c r="B19" s="23">
        <v>16403</v>
      </c>
      <c r="C19" s="23">
        <v>15042</v>
      </c>
      <c r="D19" s="23">
        <v>19357</v>
      </c>
      <c r="E19" s="23">
        <v>15042</v>
      </c>
      <c r="F19" s="23">
        <v>17056</v>
      </c>
      <c r="G19" s="23">
        <v>16075</v>
      </c>
      <c r="H19" s="23">
        <v>20168</v>
      </c>
      <c r="I19" s="23">
        <v>22012</v>
      </c>
      <c r="J19" s="23">
        <v>17867</v>
      </c>
      <c r="K19" s="23">
        <v>15881</v>
      </c>
      <c r="L19" s="23">
        <v>22693</v>
      </c>
      <c r="M19" s="23">
        <v>21184</v>
      </c>
      <c r="N19" s="23">
        <v>19198</v>
      </c>
      <c r="O19" s="23">
        <v>21042</v>
      </c>
      <c r="P19" s="23">
        <v>16649</v>
      </c>
      <c r="Q19" s="23">
        <v>16646</v>
      </c>
      <c r="R19" s="23">
        <v>0</v>
      </c>
      <c r="S19" s="23">
        <v>8776</v>
      </c>
      <c r="T19" s="23">
        <v>12594</v>
      </c>
      <c r="U19" s="23">
        <v>13567</v>
      </c>
      <c r="V19" s="23">
        <v>17283</v>
      </c>
    </row>
    <row r="20" spans="1:22" x14ac:dyDescent="0.2">
      <c r="A20" s="7" t="s">
        <v>4</v>
      </c>
      <c r="B20" s="23">
        <v>29425</v>
      </c>
      <c r="C20" s="23">
        <v>27128</v>
      </c>
      <c r="D20" s="23">
        <v>27128</v>
      </c>
      <c r="E20" s="23">
        <v>27128</v>
      </c>
      <c r="F20" s="23">
        <v>25162</v>
      </c>
      <c r="G20" s="23">
        <v>27654</v>
      </c>
      <c r="H20" s="23">
        <v>30246</v>
      </c>
      <c r="I20" s="23">
        <v>30766</v>
      </c>
      <c r="J20" s="23">
        <v>31006</v>
      </c>
      <c r="K20" s="23">
        <v>31633</v>
      </c>
      <c r="L20" s="23">
        <v>30481</v>
      </c>
      <c r="M20" s="23">
        <v>30440</v>
      </c>
      <c r="N20" s="23">
        <v>32135</v>
      </c>
      <c r="O20" s="23">
        <v>31427</v>
      </c>
      <c r="P20" s="23">
        <v>33734</v>
      </c>
      <c r="Q20" s="23">
        <v>34267</v>
      </c>
      <c r="R20" s="23">
        <v>11671</v>
      </c>
      <c r="S20" s="23">
        <v>20372</v>
      </c>
      <c r="T20" s="23">
        <v>32789</v>
      </c>
      <c r="U20" s="23">
        <v>35239</v>
      </c>
      <c r="V20" s="23">
        <v>35514</v>
      </c>
    </row>
    <row r="21" spans="1:22" s="48" customFormat="1" x14ac:dyDescent="0.2">
      <c r="A21" s="49" t="s">
        <v>0</v>
      </c>
      <c r="B21" s="70">
        <v>361988</v>
      </c>
      <c r="C21" s="70">
        <v>325026</v>
      </c>
      <c r="D21" s="70">
        <v>351674</v>
      </c>
      <c r="E21" s="70">
        <v>326787</v>
      </c>
      <c r="F21" s="70">
        <v>357252</v>
      </c>
      <c r="G21" s="70">
        <v>378673</v>
      </c>
      <c r="H21" s="70">
        <v>397595</v>
      </c>
      <c r="I21" s="70">
        <v>403677</v>
      </c>
      <c r="J21" s="70">
        <v>389627</v>
      </c>
      <c r="K21" s="70">
        <v>377885</v>
      </c>
      <c r="L21" s="70">
        <v>415139</v>
      </c>
      <c r="M21" s="70">
        <v>412549</v>
      </c>
      <c r="N21" s="70">
        <v>418932</v>
      </c>
      <c r="O21" s="70">
        <v>413583</v>
      </c>
      <c r="P21" s="70">
        <v>397756</v>
      </c>
      <c r="Q21" s="70">
        <v>425754</v>
      </c>
      <c r="R21" s="70">
        <v>80621</v>
      </c>
      <c r="S21" s="70">
        <v>159366</v>
      </c>
      <c r="T21" s="70">
        <v>288332</v>
      </c>
      <c r="U21" s="70">
        <v>355640</v>
      </c>
      <c r="V21" s="70">
        <v>329570</v>
      </c>
    </row>
  </sheetData>
  <phoneticPr fontId="21" type="noConversion"/>
  <hyperlinks>
    <hyperlink ref="A2" location="Sommaire!A1" display="Retour au menu &quot;Exploitation des films&quot;" xr:uid="{00000000-0004-0000-2A00-000000000000}"/>
  </hyperlinks>
  <pageMargins left="0.78740157499999996" right="0.78740157499999996" top="0.984251969" bottom="0.984251969" header="0.4921259845" footer="0.492125984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V21"/>
  <sheetViews>
    <sheetView workbookViewId="0"/>
  </sheetViews>
  <sheetFormatPr baseColWidth="10" defaultColWidth="5.5703125" defaultRowHeight="12" x14ac:dyDescent="0.2"/>
  <cols>
    <col min="1" max="1" width="29.85546875" style="46" customWidth="1"/>
    <col min="2" max="2" width="6.85546875" style="46" bestFit="1" customWidth="1"/>
    <col min="3" max="16" width="6.85546875" style="47" bestFit="1" customWidth="1"/>
    <col min="17" max="17" width="6.85546875" style="46" bestFit="1" customWidth="1"/>
    <col min="18" max="18" width="5.42578125" style="46" bestFit="1" customWidth="1"/>
    <col min="19" max="19" width="5.5703125" style="46"/>
    <col min="20" max="20" width="6.85546875" style="46" bestFit="1" customWidth="1"/>
    <col min="21" max="22" width="6.85546875" style="46"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row>
    <row r="2" spans="1:22" s="40" customFormat="1" ht="12.75" x14ac:dyDescent="0.2">
      <c r="A2" s="38" t="s">
        <v>32</v>
      </c>
      <c r="B2" s="39"/>
      <c r="C2" s="39"/>
      <c r="D2" s="39"/>
      <c r="E2" s="39"/>
      <c r="F2" s="39"/>
      <c r="G2" s="39"/>
      <c r="H2" s="39"/>
      <c r="I2" s="39"/>
      <c r="J2" s="39"/>
      <c r="K2" s="39"/>
      <c r="L2" s="39"/>
      <c r="M2" s="39"/>
      <c r="N2" s="39"/>
      <c r="O2" s="39"/>
      <c r="P2" s="39"/>
      <c r="Q2" s="39"/>
      <c r="R2" s="39"/>
      <c r="S2" s="39"/>
      <c r="T2" s="39"/>
    </row>
    <row r="3" spans="1:22" s="36" customFormat="1" ht="12.75" x14ac:dyDescent="0.2">
      <c r="B3" s="37"/>
      <c r="C3" s="37"/>
      <c r="D3" s="37"/>
      <c r="E3" s="37"/>
      <c r="F3" s="37"/>
      <c r="G3" s="37"/>
      <c r="H3" s="37"/>
      <c r="I3" s="37"/>
      <c r="J3" s="37"/>
      <c r="K3" s="37"/>
      <c r="L3" s="37"/>
      <c r="M3" s="37"/>
      <c r="N3" s="37"/>
      <c r="O3" s="37"/>
      <c r="P3" s="37"/>
      <c r="Q3" s="37"/>
      <c r="R3" s="37"/>
      <c r="S3" s="37"/>
      <c r="T3" s="37"/>
    </row>
    <row r="4" spans="1:22" s="36" customFormat="1" ht="12.75" x14ac:dyDescent="0.2">
      <c r="B4" s="37"/>
      <c r="C4" s="37"/>
      <c r="D4" s="37"/>
      <c r="E4" s="37"/>
      <c r="F4" s="37"/>
      <c r="G4" s="37"/>
      <c r="H4" s="37"/>
      <c r="I4" s="37"/>
      <c r="J4" s="37"/>
      <c r="K4" s="37"/>
      <c r="L4" s="37"/>
      <c r="M4" s="37"/>
      <c r="N4" s="37"/>
      <c r="O4" s="37"/>
      <c r="P4" s="37"/>
      <c r="Q4" s="37"/>
      <c r="R4" s="37"/>
      <c r="S4" s="37"/>
      <c r="T4" s="37"/>
    </row>
    <row r="5" spans="1:22" ht="12.75" x14ac:dyDescent="0.2">
      <c r="A5" s="45" t="s">
        <v>108</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6">
        <v>363905</v>
      </c>
      <c r="C8" s="26">
        <v>305994</v>
      </c>
      <c r="D8" s="26">
        <v>319775</v>
      </c>
      <c r="E8" s="26">
        <v>279001</v>
      </c>
      <c r="F8" s="26">
        <v>320426</v>
      </c>
      <c r="G8" s="26">
        <v>360068</v>
      </c>
      <c r="H8" s="26">
        <v>370102</v>
      </c>
      <c r="I8" s="26">
        <v>394885</v>
      </c>
      <c r="J8" s="26">
        <v>373342</v>
      </c>
      <c r="K8" s="26">
        <v>436880</v>
      </c>
      <c r="L8" s="26">
        <v>483479</v>
      </c>
      <c r="M8" s="26">
        <v>507320</v>
      </c>
      <c r="N8" s="26">
        <v>505735</v>
      </c>
      <c r="O8" s="26">
        <v>517876</v>
      </c>
      <c r="P8" s="26">
        <v>542253</v>
      </c>
      <c r="Q8" s="26">
        <v>528058</v>
      </c>
      <c r="R8" s="26">
        <v>63421</v>
      </c>
      <c r="S8" s="26">
        <v>96608</v>
      </c>
      <c r="T8" s="26">
        <v>349781</v>
      </c>
      <c r="U8" s="26">
        <v>453300</v>
      </c>
      <c r="V8" s="26">
        <v>427668</v>
      </c>
    </row>
    <row r="9" spans="1:22" x14ac:dyDescent="0.2">
      <c r="A9" s="7" t="s">
        <v>73</v>
      </c>
      <c r="B9" s="26">
        <v>116656</v>
      </c>
      <c r="C9" s="26">
        <v>97334</v>
      </c>
      <c r="D9" s="26">
        <v>97719</v>
      </c>
      <c r="E9" s="26">
        <v>35729</v>
      </c>
      <c r="F9" s="26">
        <v>127549</v>
      </c>
      <c r="G9" s="26">
        <v>141492</v>
      </c>
      <c r="H9" s="26">
        <v>132693</v>
      </c>
      <c r="I9" s="26">
        <v>134478</v>
      </c>
      <c r="J9" s="26">
        <v>98418</v>
      </c>
      <c r="K9" s="26">
        <v>79657</v>
      </c>
      <c r="L9" s="26">
        <v>145091</v>
      </c>
      <c r="M9" s="26">
        <v>137975</v>
      </c>
      <c r="N9" s="26">
        <v>149784</v>
      </c>
      <c r="O9" s="26">
        <v>131439</v>
      </c>
      <c r="P9" s="26">
        <v>122153</v>
      </c>
      <c r="Q9" s="26">
        <v>140559</v>
      </c>
      <c r="R9" s="26">
        <v>0</v>
      </c>
      <c r="S9" s="26">
        <v>0</v>
      </c>
      <c r="T9" s="26">
        <v>18445</v>
      </c>
      <c r="U9" s="26">
        <v>86535</v>
      </c>
      <c r="V9" s="26">
        <v>68373</v>
      </c>
    </row>
    <row r="10" spans="1:22" x14ac:dyDescent="0.2">
      <c r="A10" s="7" t="s">
        <v>1</v>
      </c>
      <c r="B10" s="26">
        <v>96441</v>
      </c>
      <c r="C10" s="26">
        <v>93023</v>
      </c>
      <c r="D10" s="26">
        <v>101600</v>
      </c>
      <c r="E10" s="26">
        <v>113471</v>
      </c>
      <c r="F10" s="26">
        <v>104877</v>
      </c>
      <c r="G10" s="26">
        <v>120634</v>
      </c>
      <c r="H10" s="26">
        <v>138100</v>
      </c>
      <c r="I10" s="26">
        <v>141207</v>
      </c>
      <c r="J10" s="26">
        <v>141521</v>
      </c>
      <c r="K10" s="26">
        <v>123906</v>
      </c>
      <c r="L10" s="26">
        <v>140271</v>
      </c>
      <c r="M10" s="26">
        <v>157403</v>
      </c>
      <c r="N10" s="26">
        <v>159713</v>
      </c>
      <c r="O10" s="26">
        <v>159401</v>
      </c>
      <c r="P10" s="26">
        <v>159764</v>
      </c>
      <c r="Q10" s="26">
        <v>142650</v>
      </c>
      <c r="R10" s="26">
        <v>0</v>
      </c>
      <c r="S10" s="26">
        <v>15912</v>
      </c>
      <c r="T10" s="26">
        <v>63499</v>
      </c>
      <c r="U10" s="26">
        <v>114576</v>
      </c>
      <c r="V10" s="26">
        <v>152897</v>
      </c>
    </row>
    <row r="11" spans="1:22" x14ac:dyDescent="0.2">
      <c r="A11" s="7" t="s">
        <v>74</v>
      </c>
      <c r="B11" s="26">
        <v>104250</v>
      </c>
      <c r="C11" s="26">
        <v>62337</v>
      </c>
      <c r="D11" s="26">
        <v>115114</v>
      </c>
      <c r="E11" s="26">
        <v>69281</v>
      </c>
      <c r="F11" s="26">
        <v>113618</v>
      </c>
      <c r="G11" s="26">
        <v>112793</v>
      </c>
      <c r="H11" s="26">
        <v>112694</v>
      </c>
      <c r="I11" s="26">
        <v>126362</v>
      </c>
      <c r="J11" s="26">
        <v>113500</v>
      </c>
      <c r="K11" s="26">
        <v>89036</v>
      </c>
      <c r="L11" s="26">
        <v>131224</v>
      </c>
      <c r="M11" s="26">
        <v>129884</v>
      </c>
      <c r="N11" s="26">
        <v>130508</v>
      </c>
      <c r="O11" s="26">
        <v>130429</v>
      </c>
      <c r="P11" s="26">
        <v>109083</v>
      </c>
      <c r="Q11" s="26">
        <v>150513</v>
      </c>
      <c r="R11" s="26">
        <v>0</v>
      </c>
      <c r="S11" s="26">
        <v>40616</v>
      </c>
      <c r="T11" s="26">
        <v>111050</v>
      </c>
      <c r="U11" s="26">
        <v>99316</v>
      </c>
      <c r="V11" s="26">
        <v>103648</v>
      </c>
    </row>
    <row r="12" spans="1:22" x14ac:dyDescent="0.2">
      <c r="A12" s="7" t="s">
        <v>5</v>
      </c>
      <c r="B12" s="26">
        <v>0</v>
      </c>
      <c r="C12" s="26">
        <v>0</v>
      </c>
      <c r="D12" s="26">
        <v>0</v>
      </c>
      <c r="E12" s="26">
        <v>0</v>
      </c>
      <c r="F12" s="26">
        <v>0</v>
      </c>
      <c r="G12" s="26">
        <v>0</v>
      </c>
      <c r="H12" s="26">
        <v>0</v>
      </c>
      <c r="I12" s="26">
        <v>0</v>
      </c>
      <c r="J12" s="26">
        <v>0</v>
      </c>
      <c r="K12" s="26">
        <v>0</v>
      </c>
      <c r="L12" s="26">
        <v>0</v>
      </c>
      <c r="M12" s="26">
        <v>0</v>
      </c>
      <c r="N12" s="26">
        <v>0</v>
      </c>
      <c r="O12" s="26">
        <v>0</v>
      </c>
      <c r="P12" s="26">
        <v>0</v>
      </c>
      <c r="Q12" s="26">
        <v>0</v>
      </c>
      <c r="R12" s="26">
        <v>0</v>
      </c>
      <c r="S12" s="26">
        <v>0</v>
      </c>
      <c r="T12" s="26">
        <v>0</v>
      </c>
      <c r="U12" s="26">
        <v>0</v>
      </c>
      <c r="V12" s="26">
        <v>0</v>
      </c>
    </row>
    <row r="13" spans="1:22" x14ac:dyDescent="0.2">
      <c r="A13" s="7" t="s">
        <v>77</v>
      </c>
      <c r="B13" s="26">
        <v>238287</v>
      </c>
      <c r="C13" s="26">
        <v>242444</v>
      </c>
      <c r="D13" s="26">
        <v>254430</v>
      </c>
      <c r="E13" s="26">
        <v>295371</v>
      </c>
      <c r="F13" s="26">
        <v>294379</v>
      </c>
      <c r="G13" s="26">
        <v>286663</v>
      </c>
      <c r="H13" s="26">
        <v>281880</v>
      </c>
      <c r="I13" s="26">
        <v>302263</v>
      </c>
      <c r="J13" s="26">
        <v>305477</v>
      </c>
      <c r="K13" s="26">
        <v>303366</v>
      </c>
      <c r="L13" s="26">
        <v>304131</v>
      </c>
      <c r="M13" s="26">
        <v>278408</v>
      </c>
      <c r="N13" s="26">
        <v>319505</v>
      </c>
      <c r="O13" s="26">
        <v>300367</v>
      </c>
      <c r="P13" s="26">
        <v>293528</v>
      </c>
      <c r="Q13" s="26">
        <v>336998</v>
      </c>
      <c r="R13" s="26">
        <v>0</v>
      </c>
      <c r="S13" s="26">
        <v>23429</v>
      </c>
      <c r="T13" s="26">
        <v>152864</v>
      </c>
      <c r="U13" s="26">
        <v>238325</v>
      </c>
      <c r="V13" s="26">
        <v>155752</v>
      </c>
    </row>
    <row r="14" spans="1:22" x14ac:dyDescent="0.2">
      <c r="A14" s="7" t="s">
        <v>78</v>
      </c>
      <c r="B14" s="26">
        <v>225102</v>
      </c>
      <c r="C14" s="26">
        <v>168603</v>
      </c>
      <c r="D14" s="26">
        <v>205277</v>
      </c>
      <c r="E14" s="26">
        <v>168632</v>
      </c>
      <c r="F14" s="26">
        <v>262094</v>
      </c>
      <c r="G14" s="26">
        <v>263829</v>
      </c>
      <c r="H14" s="26">
        <v>286744</v>
      </c>
      <c r="I14" s="26">
        <v>297015</v>
      </c>
      <c r="J14" s="26">
        <v>303600</v>
      </c>
      <c r="K14" s="26">
        <v>241992</v>
      </c>
      <c r="L14" s="26">
        <v>286017</v>
      </c>
      <c r="M14" s="26">
        <v>315728</v>
      </c>
      <c r="N14" s="26">
        <v>320970</v>
      </c>
      <c r="O14" s="26">
        <v>318246</v>
      </c>
      <c r="P14" s="26">
        <v>306252</v>
      </c>
      <c r="Q14" s="26">
        <v>321569</v>
      </c>
      <c r="R14" s="26">
        <v>16560</v>
      </c>
      <c r="S14" s="26">
        <v>39958</v>
      </c>
      <c r="T14" s="26">
        <v>96038</v>
      </c>
      <c r="U14" s="26">
        <v>157207</v>
      </c>
      <c r="V14" s="26">
        <v>114680</v>
      </c>
    </row>
    <row r="15" spans="1:22" x14ac:dyDescent="0.2">
      <c r="A15" s="7" t="s">
        <v>2</v>
      </c>
      <c r="B15" s="26">
        <v>983941.88881341065</v>
      </c>
      <c r="C15" s="26">
        <v>930094.86713956704</v>
      </c>
      <c r="D15" s="26">
        <v>1036924.9911051868</v>
      </c>
      <c r="E15" s="26">
        <v>966009.66827367852</v>
      </c>
      <c r="F15" s="26">
        <v>1027043.9617413548</v>
      </c>
      <c r="G15" s="26">
        <v>1042291.9338662892</v>
      </c>
      <c r="H15" s="26">
        <v>1073641.246776012</v>
      </c>
      <c r="I15" s="26">
        <v>1074789.9373544345</v>
      </c>
      <c r="J15" s="26">
        <v>1105205.8540360583</v>
      </c>
      <c r="K15" s="26">
        <v>1014139.9842623535</v>
      </c>
      <c r="L15" s="26">
        <v>1125369.434996115</v>
      </c>
      <c r="M15" s="26">
        <v>1108114.6493451097</v>
      </c>
      <c r="N15" s="26">
        <v>1132359.0251051155</v>
      </c>
      <c r="O15" s="26">
        <v>1131807.1602621081</v>
      </c>
      <c r="P15" s="26">
        <v>1141336.7746376749</v>
      </c>
      <c r="Q15" s="26">
        <v>1214271.1416383102</v>
      </c>
      <c r="R15" s="26">
        <v>172598.48070146173</v>
      </c>
      <c r="S15" s="26">
        <v>285438</v>
      </c>
      <c r="T15" s="26">
        <v>864149.71930816234</v>
      </c>
      <c r="U15" s="26">
        <v>996320.8284386585</v>
      </c>
      <c r="V15" s="26">
        <v>990520.9159717313</v>
      </c>
    </row>
    <row r="16" spans="1:22" x14ac:dyDescent="0.2">
      <c r="A16" s="7" t="s">
        <v>75</v>
      </c>
      <c r="B16" s="26">
        <v>149176</v>
      </c>
      <c r="C16" s="26">
        <v>126740</v>
      </c>
      <c r="D16" s="26">
        <v>110617</v>
      </c>
      <c r="E16" s="26">
        <v>109577</v>
      </c>
      <c r="F16" s="26">
        <v>111807</v>
      </c>
      <c r="G16" s="26">
        <v>129012</v>
      </c>
      <c r="H16" s="26">
        <v>160771</v>
      </c>
      <c r="I16" s="26">
        <v>172188</v>
      </c>
      <c r="J16" s="26">
        <v>156171</v>
      </c>
      <c r="K16" s="26">
        <v>175553</v>
      </c>
      <c r="L16" s="26">
        <v>173301</v>
      </c>
      <c r="M16" s="26">
        <v>172498</v>
      </c>
      <c r="N16" s="26">
        <v>142394</v>
      </c>
      <c r="O16" s="26">
        <v>141521</v>
      </c>
      <c r="P16" s="26">
        <v>143535</v>
      </c>
      <c r="Q16" s="26">
        <v>142569</v>
      </c>
      <c r="R16" s="26">
        <v>0</v>
      </c>
      <c r="S16" s="26">
        <v>29964</v>
      </c>
      <c r="T16" s="26">
        <v>68517</v>
      </c>
      <c r="U16" s="26">
        <v>111566</v>
      </c>
      <c r="V16" s="26">
        <v>116897</v>
      </c>
    </row>
    <row r="17" spans="1:22" x14ac:dyDescent="0.2">
      <c r="A17" s="7" t="s">
        <v>79</v>
      </c>
      <c r="B17" s="26">
        <v>243914</v>
      </c>
      <c r="C17" s="26">
        <v>189478</v>
      </c>
      <c r="D17" s="26">
        <v>201697</v>
      </c>
      <c r="E17" s="26">
        <v>186108</v>
      </c>
      <c r="F17" s="26">
        <v>207567</v>
      </c>
      <c r="G17" s="26">
        <v>268634</v>
      </c>
      <c r="H17" s="26">
        <v>297028</v>
      </c>
      <c r="I17" s="26">
        <v>304376</v>
      </c>
      <c r="J17" s="26">
        <v>272638</v>
      </c>
      <c r="K17" s="26">
        <v>254943</v>
      </c>
      <c r="L17" s="26">
        <v>280831</v>
      </c>
      <c r="M17" s="26">
        <v>262419</v>
      </c>
      <c r="N17" s="26">
        <v>246292</v>
      </c>
      <c r="O17" s="26">
        <v>245726</v>
      </c>
      <c r="P17" s="26">
        <v>227297</v>
      </c>
      <c r="Q17" s="26">
        <v>247450</v>
      </c>
      <c r="R17" s="26">
        <v>48858</v>
      </c>
      <c r="S17" s="26">
        <v>67159</v>
      </c>
      <c r="T17" s="26">
        <v>203144</v>
      </c>
      <c r="U17" s="26">
        <v>201233</v>
      </c>
      <c r="V17" s="26">
        <v>231977</v>
      </c>
    </row>
    <row r="18" spans="1:22" x14ac:dyDescent="0.2">
      <c r="A18" s="7" t="s">
        <v>80</v>
      </c>
      <c r="B18" s="26">
        <v>214188</v>
      </c>
      <c r="C18" s="26">
        <v>214181</v>
      </c>
      <c r="D18" s="26">
        <v>238757</v>
      </c>
      <c r="E18" s="26">
        <v>250906</v>
      </c>
      <c r="F18" s="26">
        <v>248182</v>
      </c>
      <c r="G18" s="26">
        <v>254589</v>
      </c>
      <c r="H18" s="26">
        <v>265976</v>
      </c>
      <c r="I18" s="26">
        <v>272700</v>
      </c>
      <c r="J18" s="26">
        <v>246876</v>
      </c>
      <c r="K18" s="26">
        <v>257362</v>
      </c>
      <c r="L18" s="26">
        <v>265193</v>
      </c>
      <c r="M18" s="26">
        <v>279142</v>
      </c>
      <c r="N18" s="26">
        <v>284054</v>
      </c>
      <c r="O18" s="26">
        <v>269145</v>
      </c>
      <c r="P18" s="26">
        <v>246202</v>
      </c>
      <c r="Q18" s="26">
        <v>262752</v>
      </c>
      <c r="R18" s="26">
        <v>38067</v>
      </c>
      <c r="S18" s="26">
        <v>78782</v>
      </c>
      <c r="T18" s="26">
        <v>209250</v>
      </c>
      <c r="U18" s="26">
        <v>198678</v>
      </c>
      <c r="V18" s="26">
        <v>203163</v>
      </c>
    </row>
    <row r="19" spans="1:22" x14ac:dyDescent="0.2">
      <c r="A19" s="7" t="s">
        <v>3</v>
      </c>
      <c r="B19" s="26">
        <v>143769</v>
      </c>
      <c r="C19" s="26">
        <v>129390</v>
      </c>
      <c r="D19" s="26">
        <v>160622</v>
      </c>
      <c r="E19" s="26">
        <v>132079</v>
      </c>
      <c r="F19" s="26">
        <v>146950</v>
      </c>
      <c r="G19" s="26">
        <v>140788</v>
      </c>
      <c r="H19" s="26">
        <v>179093</v>
      </c>
      <c r="I19" s="26">
        <v>197057</v>
      </c>
      <c r="J19" s="26">
        <v>163576</v>
      </c>
      <c r="K19" s="26">
        <v>149848</v>
      </c>
      <c r="L19" s="26">
        <v>222194</v>
      </c>
      <c r="M19" s="26">
        <v>208424</v>
      </c>
      <c r="N19" s="26">
        <v>194608</v>
      </c>
      <c r="O19" s="26">
        <v>206926</v>
      </c>
      <c r="P19" s="26">
        <v>169820</v>
      </c>
      <c r="Q19" s="26">
        <v>164975</v>
      </c>
      <c r="R19" s="26">
        <v>0</v>
      </c>
      <c r="S19" s="26">
        <v>43869</v>
      </c>
      <c r="T19" s="26">
        <v>118592</v>
      </c>
      <c r="U19" s="26">
        <v>123731</v>
      </c>
      <c r="V19" s="26">
        <v>157832</v>
      </c>
    </row>
    <row r="20" spans="1:22" x14ac:dyDescent="0.2">
      <c r="A20" s="7" t="s">
        <v>4</v>
      </c>
      <c r="B20" s="26">
        <v>273219</v>
      </c>
      <c r="C20" s="26">
        <v>250014</v>
      </c>
      <c r="D20" s="26">
        <v>248626</v>
      </c>
      <c r="E20" s="26">
        <v>243989</v>
      </c>
      <c r="F20" s="26">
        <v>240930</v>
      </c>
      <c r="G20" s="26">
        <v>262149</v>
      </c>
      <c r="H20" s="26">
        <v>275856</v>
      </c>
      <c r="I20" s="26">
        <v>293137</v>
      </c>
      <c r="J20" s="26">
        <v>293656</v>
      </c>
      <c r="K20" s="26">
        <v>289667</v>
      </c>
      <c r="L20" s="26">
        <v>288692</v>
      </c>
      <c r="M20" s="26">
        <v>291013</v>
      </c>
      <c r="N20" s="26">
        <v>303933</v>
      </c>
      <c r="O20" s="26">
        <v>304389</v>
      </c>
      <c r="P20" s="26">
        <v>328519</v>
      </c>
      <c r="Q20" s="26">
        <v>338069</v>
      </c>
      <c r="R20" s="26">
        <v>58249</v>
      </c>
      <c r="S20" s="26">
        <v>113381</v>
      </c>
      <c r="T20" s="26">
        <v>313031</v>
      </c>
      <c r="U20" s="26">
        <v>322603</v>
      </c>
      <c r="V20" s="26">
        <v>341921</v>
      </c>
    </row>
    <row r="21" spans="1:22" s="48" customFormat="1" x14ac:dyDescent="0.2">
      <c r="A21" s="49" t="s">
        <v>0</v>
      </c>
      <c r="B21" s="71">
        <v>3152848.8888134109</v>
      </c>
      <c r="C21" s="71">
        <v>2809632.8671395672</v>
      </c>
      <c r="D21" s="71">
        <v>3091158.9911051868</v>
      </c>
      <c r="E21" s="71">
        <v>2850153.6682736785</v>
      </c>
      <c r="F21" s="71">
        <v>3205422.9617413548</v>
      </c>
      <c r="G21" s="71">
        <v>3382942.9338662894</v>
      </c>
      <c r="H21" s="71">
        <v>3574578.2467760118</v>
      </c>
      <c r="I21" s="71">
        <v>3710457.9373544343</v>
      </c>
      <c r="J21" s="71">
        <v>3573980.8540360583</v>
      </c>
      <c r="K21" s="71">
        <v>3416349.9842623537</v>
      </c>
      <c r="L21" s="71">
        <v>3845793.434996115</v>
      </c>
      <c r="M21" s="71">
        <v>3848328.6493451097</v>
      </c>
      <c r="N21" s="71">
        <v>3889855.0251051155</v>
      </c>
      <c r="O21" s="71">
        <v>3857272.1602621078</v>
      </c>
      <c r="P21" s="71">
        <v>3789742.7746376749</v>
      </c>
      <c r="Q21" s="71">
        <v>3990433.1416383102</v>
      </c>
      <c r="R21" s="71">
        <v>397753.48070146173</v>
      </c>
      <c r="S21" s="71">
        <v>835116</v>
      </c>
      <c r="T21" s="71">
        <v>2568360.7193081621</v>
      </c>
      <c r="U21" s="71">
        <v>3103390.8284386583</v>
      </c>
      <c r="V21" s="71">
        <v>3065328.9159717313</v>
      </c>
    </row>
  </sheetData>
  <phoneticPr fontId="21" type="noConversion"/>
  <hyperlinks>
    <hyperlink ref="A2" location="Sommaire!A1" display="Retour au menu &quot;Exploitation des films&quot;" xr:uid="{00000000-0004-0000-2B00-000000000000}"/>
  </hyperlinks>
  <pageMargins left="0.78740157499999996" right="0.78740157499999996" top="0.984251969" bottom="0.984251969" header="0.4921259845" footer="0.492125984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V21"/>
  <sheetViews>
    <sheetView workbookViewId="0"/>
  </sheetViews>
  <sheetFormatPr baseColWidth="10" defaultColWidth="5.5703125" defaultRowHeight="12" x14ac:dyDescent="0.2"/>
  <cols>
    <col min="1" max="1" width="29.85546875" style="46" customWidth="1"/>
    <col min="2" max="2" width="6.42578125" style="46" bestFit="1" customWidth="1"/>
    <col min="3" max="3" width="5.42578125" style="47" bestFit="1" customWidth="1"/>
    <col min="4" max="4" width="6.42578125" style="47" bestFit="1" customWidth="1"/>
    <col min="5" max="5" width="5.42578125" style="47" bestFit="1" customWidth="1"/>
    <col min="6" max="16" width="6.42578125" style="47" bestFit="1" customWidth="1"/>
    <col min="17" max="17" width="6.42578125" style="46" bestFit="1" customWidth="1"/>
    <col min="18" max="18" width="5" style="46" bestFit="1" customWidth="1"/>
    <col min="19"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row>
    <row r="2" spans="1:22" s="40" customFormat="1" ht="12.75" x14ac:dyDescent="0.2">
      <c r="A2" s="38" t="s">
        <v>32</v>
      </c>
      <c r="B2" s="39"/>
      <c r="C2" s="39"/>
      <c r="D2" s="39"/>
      <c r="E2" s="39"/>
      <c r="F2" s="39"/>
      <c r="G2" s="39"/>
      <c r="H2" s="39"/>
      <c r="I2" s="39"/>
      <c r="J2" s="39"/>
      <c r="K2" s="39"/>
      <c r="L2" s="39"/>
      <c r="M2" s="39"/>
      <c r="N2" s="39"/>
      <c r="O2" s="39"/>
      <c r="P2" s="39"/>
      <c r="Q2" s="39"/>
      <c r="R2" s="39"/>
      <c r="S2" s="39"/>
      <c r="T2" s="39"/>
    </row>
    <row r="3" spans="1:22" s="36" customFormat="1" ht="12.75" x14ac:dyDescent="0.2">
      <c r="B3" s="37"/>
      <c r="C3" s="37"/>
      <c r="D3" s="37"/>
      <c r="E3" s="37"/>
      <c r="F3" s="37"/>
      <c r="G3" s="37"/>
      <c r="H3" s="37"/>
      <c r="I3" s="37"/>
      <c r="J3" s="37"/>
      <c r="K3" s="37"/>
      <c r="L3" s="37"/>
      <c r="M3" s="37"/>
      <c r="N3" s="37"/>
      <c r="O3" s="37"/>
      <c r="P3" s="37"/>
      <c r="Q3" s="37"/>
      <c r="R3" s="37"/>
      <c r="S3" s="37"/>
      <c r="T3" s="37"/>
    </row>
    <row r="4" spans="1:22" s="36" customFormat="1" ht="12.75" x14ac:dyDescent="0.2">
      <c r="B4" s="37"/>
      <c r="C4" s="37"/>
      <c r="D4" s="37"/>
      <c r="E4" s="37"/>
      <c r="F4" s="37"/>
      <c r="G4" s="37"/>
      <c r="H4" s="37"/>
      <c r="I4" s="37"/>
      <c r="J4" s="37"/>
      <c r="K4" s="37"/>
      <c r="L4" s="37"/>
      <c r="M4" s="37"/>
      <c r="N4" s="37"/>
      <c r="O4" s="37"/>
      <c r="P4" s="37"/>
      <c r="Q4" s="37"/>
      <c r="R4" s="37"/>
      <c r="S4" s="37"/>
      <c r="T4" s="37"/>
    </row>
    <row r="5" spans="1:22" ht="12.75" x14ac:dyDescent="0.2">
      <c r="A5" s="45" t="s">
        <v>107</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4">
        <v>13192512</v>
      </c>
      <c r="C8" s="24">
        <v>10500489</v>
      </c>
      <c r="D8" s="24">
        <v>11048208</v>
      </c>
      <c r="E8" s="24">
        <v>9550106</v>
      </c>
      <c r="F8" s="24">
        <v>10889884</v>
      </c>
      <c r="G8" s="24">
        <v>12468580</v>
      </c>
      <c r="H8" s="24">
        <v>13742089</v>
      </c>
      <c r="I8" s="24">
        <v>13979802</v>
      </c>
      <c r="J8" s="24">
        <v>12295229</v>
      </c>
      <c r="K8" s="24">
        <v>13032557</v>
      </c>
      <c r="L8" s="24">
        <v>13947236</v>
      </c>
      <c r="M8" s="24">
        <v>13635626</v>
      </c>
      <c r="N8" s="24">
        <v>14011537</v>
      </c>
      <c r="O8" s="24">
        <v>13015911</v>
      </c>
      <c r="P8" s="24">
        <v>12464690</v>
      </c>
      <c r="Q8" s="24">
        <v>12822001</v>
      </c>
      <c r="R8" s="24">
        <v>1087950</v>
      </c>
      <c r="S8" s="24">
        <v>2220505</v>
      </c>
      <c r="T8" s="24">
        <v>6756628</v>
      </c>
      <c r="U8" s="24">
        <v>9983406</v>
      </c>
      <c r="V8" s="24">
        <v>9135293</v>
      </c>
    </row>
    <row r="9" spans="1:22" x14ac:dyDescent="0.2">
      <c r="A9" s="7" t="s">
        <v>73</v>
      </c>
      <c r="B9" s="24">
        <v>3054734</v>
      </c>
      <c r="C9" s="24">
        <v>2209477</v>
      </c>
      <c r="D9" s="24">
        <v>2307997</v>
      </c>
      <c r="E9" s="24">
        <v>1166753</v>
      </c>
      <c r="F9" s="24">
        <v>2718307</v>
      </c>
      <c r="G9" s="24">
        <v>3258608</v>
      </c>
      <c r="H9" s="24">
        <v>3295449</v>
      </c>
      <c r="I9" s="24">
        <v>3363615</v>
      </c>
      <c r="J9" s="24">
        <v>2215179</v>
      </c>
      <c r="K9" s="24">
        <v>1701549</v>
      </c>
      <c r="L9" s="24">
        <v>3395256</v>
      </c>
      <c r="M9" s="24">
        <v>3339413</v>
      </c>
      <c r="N9" s="24">
        <v>3479270</v>
      </c>
      <c r="O9" s="24">
        <v>2935531</v>
      </c>
      <c r="P9" s="24">
        <v>2721624</v>
      </c>
      <c r="Q9" s="24">
        <v>3334443</v>
      </c>
      <c r="R9" s="24">
        <v>0</v>
      </c>
      <c r="S9" s="24">
        <v>0</v>
      </c>
      <c r="T9" s="24">
        <v>454383</v>
      </c>
      <c r="U9" s="24">
        <v>1620201</v>
      </c>
      <c r="V9" s="24">
        <v>1175604</v>
      </c>
    </row>
    <row r="10" spans="1:22" x14ac:dyDescent="0.2">
      <c r="A10" s="7" t="s">
        <v>1</v>
      </c>
      <c r="B10" s="24">
        <v>3032422</v>
      </c>
      <c r="C10" s="24">
        <v>2305192</v>
      </c>
      <c r="D10" s="24">
        <v>2919679</v>
      </c>
      <c r="E10" s="24">
        <v>3136691</v>
      </c>
      <c r="F10" s="24">
        <v>3022400</v>
      </c>
      <c r="G10" s="24">
        <v>3869904</v>
      </c>
      <c r="H10" s="24">
        <v>4500944</v>
      </c>
      <c r="I10" s="24">
        <v>4696519</v>
      </c>
      <c r="J10" s="24">
        <v>4515493</v>
      </c>
      <c r="K10" s="24">
        <v>3692242</v>
      </c>
      <c r="L10" s="24">
        <v>4455539</v>
      </c>
      <c r="M10" s="24">
        <v>4879229</v>
      </c>
      <c r="N10" s="24">
        <v>4924398</v>
      </c>
      <c r="O10" s="24">
        <v>4887894</v>
      </c>
      <c r="P10" s="24">
        <v>4575148</v>
      </c>
      <c r="Q10" s="24">
        <v>4349440</v>
      </c>
      <c r="R10" s="24">
        <v>0</v>
      </c>
      <c r="S10" s="24">
        <v>530139</v>
      </c>
      <c r="T10" s="24">
        <v>1574959</v>
      </c>
      <c r="U10" s="24">
        <v>3126111</v>
      </c>
      <c r="V10" s="24">
        <v>3437666</v>
      </c>
    </row>
    <row r="11" spans="1:22" x14ac:dyDescent="0.2">
      <c r="A11" s="7" t="s">
        <v>74</v>
      </c>
      <c r="B11" s="24">
        <v>2962067</v>
      </c>
      <c r="C11" s="24">
        <v>1993947</v>
      </c>
      <c r="D11" s="24">
        <v>3083209</v>
      </c>
      <c r="E11" s="24">
        <v>2031812</v>
      </c>
      <c r="F11" s="24">
        <v>2967627</v>
      </c>
      <c r="G11" s="24">
        <v>3128058</v>
      </c>
      <c r="H11" s="24">
        <v>3181455</v>
      </c>
      <c r="I11" s="24">
        <v>3792171</v>
      </c>
      <c r="J11" s="24">
        <v>3135104</v>
      </c>
      <c r="K11" s="24">
        <v>2515204</v>
      </c>
      <c r="L11" s="24">
        <v>3748579</v>
      </c>
      <c r="M11" s="24">
        <v>3654827</v>
      </c>
      <c r="N11" s="24">
        <v>3793804</v>
      </c>
      <c r="O11" s="24">
        <v>3743962</v>
      </c>
      <c r="P11" s="24">
        <v>3141486</v>
      </c>
      <c r="Q11" s="24">
        <v>3965282</v>
      </c>
      <c r="R11" s="24">
        <v>0</v>
      </c>
      <c r="S11" s="24">
        <v>756577</v>
      </c>
      <c r="T11" s="24">
        <v>2251724</v>
      </c>
      <c r="U11" s="24">
        <v>2487120</v>
      </c>
      <c r="V11" s="24">
        <v>2466743</v>
      </c>
    </row>
    <row r="12" spans="1:22" x14ac:dyDescent="0.2">
      <c r="A12" s="7" t="s">
        <v>5</v>
      </c>
      <c r="B12" s="24">
        <v>0</v>
      </c>
      <c r="C12" s="24">
        <v>0</v>
      </c>
      <c r="D12" s="24">
        <v>0</v>
      </c>
      <c r="E12" s="24">
        <v>0</v>
      </c>
      <c r="F12" s="24">
        <v>0</v>
      </c>
      <c r="G12" s="24">
        <v>0</v>
      </c>
      <c r="H12" s="24">
        <v>0</v>
      </c>
      <c r="I12" s="24">
        <v>0</v>
      </c>
      <c r="J12" s="24">
        <v>0</v>
      </c>
      <c r="K12" s="24">
        <v>0</v>
      </c>
      <c r="L12" s="24">
        <v>0</v>
      </c>
      <c r="M12" s="24">
        <v>0</v>
      </c>
      <c r="N12" s="24">
        <v>0</v>
      </c>
      <c r="O12" s="24">
        <v>0</v>
      </c>
      <c r="P12" s="24">
        <v>0</v>
      </c>
      <c r="Q12" s="24">
        <v>0</v>
      </c>
      <c r="R12" s="24">
        <v>0</v>
      </c>
      <c r="S12" s="24">
        <v>0</v>
      </c>
      <c r="T12" s="24">
        <v>0</v>
      </c>
      <c r="U12" s="24">
        <v>0</v>
      </c>
      <c r="V12" s="24">
        <v>0</v>
      </c>
    </row>
    <row r="13" spans="1:22" x14ac:dyDescent="0.2">
      <c r="A13" s="7" t="s">
        <v>77</v>
      </c>
      <c r="B13" s="24">
        <v>8969166</v>
      </c>
      <c r="C13" s="24">
        <v>8172911</v>
      </c>
      <c r="D13" s="24">
        <v>8696544</v>
      </c>
      <c r="E13" s="24">
        <v>8734211</v>
      </c>
      <c r="F13" s="24">
        <v>9183897</v>
      </c>
      <c r="G13" s="24">
        <v>9694627</v>
      </c>
      <c r="H13" s="24">
        <v>9624864</v>
      </c>
      <c r="I13" s="24">
        <v>10449252</v>
      </c>
      <c r="J13" s="24">
        <v>9544233</v>
      </c>
      <c r="K13" s="24">
        <v>8891044</v>
      </c>
      <c r="L13" s="24">
        <v>9416147</v>
      </c>
      <c r="M13" s="24">
        <v>8750011</v>
      </c>
      <c r="N13" s="24">
        <v>9290836</v>
      </c>
      <c r="O13" s="24">
        <v>8682040</v>
      </c>
      <c r="P13" s="24">
        <v>7623259</v>
      </c>
      <c r="Q13" s="24">
        <v>8876173</v>
      </c>
      <c r="R13" s="24">
        <v>0</v>
      </c>
      <c r="S13" s="24">
        <v>556055</v>
      </c>
      <c r="T13" s="24">
        <v>3065108</v>
      </c>
      <c r="U13" s="24">
        <v>5097446</v>
      </c>
      <c r="V13" s="24">
        <v>3464174</v>
      </c>
    </row>
    <row r="14" spans="1:22" x14ac:dyDescent="0.2">
      <c r="A14" s="7" t="s">
        <v>78</v>
      </c>
      <c r="B14" s="24">
        <v>8223957</v>
      </c>
      <c r="C14" s="24">
        <v>6241617</v>
      </c>
      <c r="D14" s="24">
        <v>7559514</v>
      </c>
      <c r="E14" s="24">
        <v>6240879</v>
      </c>
      <c r="F14" s="24">
        <v>9348204</v>
      </c>
      <c r="G14" s="24">
        <v>9277371</v>
      </c>
      <c r="H14" s="24">
        <v>9913793</v>
      </c>
      <c r="I14" s="24">
        <v>10772834</v>
      </c>
      <c r="J14" s="24">
        <v>10006321</v>
      </c>
      <c r="K14" s="24">
        <v>7809688</v>
      </c>
      <c r="L14" s="24">
        <v>9433356</v>
      </c>
      <c r="M14" s="24">
        <v>9728332</v>
      </c>
      <c r="N14" s="24">
        <v>9784708</v>
      </c>
      <c r="O14" s="24">
        <v>9444721</v>
      </c>
      <c r="P14" s="24">
        <v>8678372</v>
      </c>
      <c r="Q14" s="24">
        <v>9193065</v>
      </c>
      <c r="R14" s="24">
        <v>529145</v>
      </c>
      <c r="S14" s="24">
        <v>1286133</v>
      </c>
      <c r="T14" s="24">
        <v>2880321</v>
      </c>
      <c r="U14" s="24">
        <v>4901815</v>
      </c>
      <c r="V14" s="24">
        <v>3839671</v>
      </c>
    </row>
    <row r="15" spans="1:22" x14ac:dyDescent="0.2">
      <c r="A15" s="7" t="s">
        <v>2</v>
      </c>
      <c r="B15" s="24">
        <v>42786165.640137136</v>
      </c>
      <c r="C15" s="24">
        <v>37828240.162798882</v>
      </c>
      <c r="D15" s="24">
        <v>41434742.356085792</v>
      </c>
      <c r="E15" s="24">
        <v>37012859.861935079</v>
      </c>
      <c r="F15" s="24">
        <v>40141371.579020455</v>
      </c>
      <c r="G15" s="24">
        <v>43605291.897346124</v>
      </c>
      <c r="H15" s="24">
        <v>44465967.713971004</v>
      </c>
      <c r="I15" s="24">
        <v>45412274.066728964</v>
      </c>
      <c r="J15" s="24">
        <v>43694293.597360387</v>
      </c>
      <c r="K15" s="24">
        <v>39425582.454673246</v>
      </c>
      <c r="L15" s="24">
        <v>41685671.333525956</v>
      </c>
      <c r="M15" s="24">
        <v>38369776.023318991</v>
      </c>
      <c r="N15" s="24">
        <v>38526625.61322102</v>
      </c>
      <c r="O15" s="24">
        <v>37683403.995064199</v>
      </c>
      <c r="P15" s="24">
        <v>34813122.799345456</v>
      </c>
      <c r="Q15" s="24">
        <v>38207508.703757688</v>
      </c>
      <c r="R15" s="24">
        <v>4042290.8329221793</v>
      </c>
      <c r="S15" s="24">
        <v>8771365</v>
      </c>
      <c r="T15" s="24">
        <v>20975284.244105361</v>
      </c>
      <c r="U15" s="24">
        <v>27303226.732576363</v>
      </c>
      <c r="V15" s="24">
        <v>25587369.99842535</v>
      </c>
    </row>
    <row r="16" spans="1:22" x14ac:dyDescent="0.2">
      <c r="A16" s="7" t="s">
        <v>75</v>
      </c>
      <c r="B16" s="24">
        <v>4787749</v>
      </c>
      <c r="C16" s="24">
        <v>3811520</v>
      </c>
      <c r="D16" s="24">
        <v>3889346</v>
      </c>
      <c r="E16" s="24">
        <v>3596827</v>
      </c>
      <c r="F16" s="24">
        <v>3907397</v>
      </c>
      <c r="G16" s="24">
        <v>4161681</v>
      </c>
      <c r="H16" s="24">
        <v>5220808</v>
      </c>
      <c r="I16" s="24">
        <v>5612989</v>
      </c>
      <c r="J16" s="24">
        <v>4708234</v>
      </c>
      <c r="K16" s="24">
        <v>4678679</v>
      </c>
      <c r="L16" s="24">
        <v>4995202</v>
      </c>
      <c r="M16" s="24">
        <v>4923751</v>
      </c>
      <c r="N16" s="24">
        <v>4527870</v>
      </c>
      <c r="O16" s="24">
        <v>4300087</v>
      </c>
      <c r="P16" s="24">
        <v>3977131</v>
      </c>
      <c r="Q16" s="24">
        <v>4014915</v>
      </c>
      <c r="R16" s="24">
        <v>0</v>
      </c>
      <c r="S16" s="24">
        <v>496380</v>
      </c>
      <c r="T16" s="24">
        <v>1612139</v>
      </c>
      <c r="U16" s="24">
        <v>2872454</v>
      </c>
      <c r="V16" s="24">
        <v>2757107</v>
      </c>
    </row>
    <row r="17" spans="1:22" x14ac:dyDescent="0.2">
      <c r="A17" s="7" t="s">
        <v>79</v>
      </c>
      <c r="B17" s="24">
        <v>6919107</v>
      </c>
      <c r="C17" s="24">
        <v>5293459</v>
      </c>
      <c r="D17" s="24">
        <v>5736953</v>
      </c>
      <c r="E17" s="24">
        <v>4899750</v>
      </c>
      <c r="F17" s="24">
        <v>5571140</v>
      </c>
      <c r="G17" s="24">
        <v>7264069</v>
      </c>
      <c r="H17" s="24">
        <v>7983783</v>
      </c>
      <c r="I17" s="24">
        <v>8068021</v>
      </c>
      <c r="J17" s="24">
        <v>6826528</v>
      </c>
      <c r="K17" s="24">
        <v>6099058</v>
      </c>
      <c r="L17" s="24">
        <v>6791954</v>
      </c>
      <c r="M17" s="24">
        <v>6159975</v>
      </c>
      <c r="N17" s="24">
        <v>5888863</v>
      </c>
      <c r="O17" s="24">
        <v>5673148</v>
      </c>
      <c r="P17" s="24">
        <v>4987263</v>
      </c>
      <c r="Q17" s="24">
        <v>5545172</v>
      </c>
      <c r="R17" s="24">
        <v>643409</v>
      </c>
      <c r="S17" s="24">
        <v>1016424</v>
      </c>
      <c r="T17" s="24">
        <v>3190528</v>
      </c>
      <c r="U17" s="24">
        <v>3722640</v>
      </c>
      <c r="V17" s="24">
        <v>4174370</v>
      </c>
    </row>
    <row r="18" spans="1:22" x14ac:dyDescent="0.2">
      <c r="A18" s="7" t="s">
        <v>80</v>
      </c>
      <c r="B18" s="24">
        <v>7988199</v>
      </c>
      <c r="C18" s="24">
        <v>7357287</v>
      </c>
      <c r="D18" s="24">
        <v>8049310</v>
      </c>
      <c r="E18" s="24">
        <v>8123777</v>
      </c>
      <c r="F18" s="24">
        <v>8244473</v>
      </c>
      <c r="G18" s="24">
        <v>9150191</v>
      </c>
      <c r="H18" s="24">
        <v>9525019</v>
      </c>
      <c r="I18" s="24">
        <v>9562129</v>
      </c>
      <c r="J18" s="24">
        <v>8426783</v>
      </c>
      <c r="K18" s="24">
        <v>8425444</v>
      </c>
      <c r="L18" s="24">
        <v>8871423</v>
      </c>
      <c r="M18" s="24">
        <v>9097758</v>
      </c>
      <c r="N18" s="24">
        <v>9252817</v>
      </c>
      <c r="O18" s="24">
        <v>8344718</v>
      </c>
      <c r="P18" s="24">
        <v>7340722</v>
      </c>
      <c r="Q18" s="24">
        <v>7901907</v>
      </c>
      <c r="R18" s="24">
        <v>973232</v>
      </c>
      <c r="S18" s="24">
        <v>2104773</v>
      </c>
      <c r="T18" s="24">
        <v>4859547</v>
      </c>
      <c r="U18" s="24">
        <v>5770868</v>
      </c>
      <c r="V18" s="24">
        <v>5662444</v>
      </c>
    </row>
    <row r="19" spans="1:22" x14ac:dyDescent="0.2">
      <c r="A19" s="7" t="s">
        <v>3</v>
      </c>
      <c r="B19" s="24">
        <v>5012530</v>
      </c>
      <c r="C19" s="24">
        <v>4049533</v>
      </c>
      <c r="D19" s="24">
        <v>5203789</v>
      </c>
      <c r="E19" s="24">
        <v>3972246</v>
      </c>
      <c r="F19" s="24">
        <v>4711541</v>
      </c>
      <c r="G19" s="24">
        <v>4990796</v>
      </c>
      <c r="H19" s="24">
        <v>6195687</v>
      </c>
      <c r="I19" s="24">
        <v>6844223</v>
      </c>
      <c r="J19" s="24">
        <v>5468188</v>
      </c>
      <c r="K19" s="24">
        <v>4621647</v>
      </c>
      <c r="L19" s="24">
        <v>6357640</v>
      </c>
      <c r="M19" s="24">
        <v>6166077</v>
      </c>
      <c r="N19" s="24">
        <v>5618160</v>
      </c>
      <c r="O19" s="24">
        <v>5944201</v>
      </c>
      <c r="P19" s="24">
        <v>4728601</v>
      </c>
      <c r="Q19" s="24">
        <v>4914055</v>
      </c>
      <c r="R19" s="24">
        <v>0</v>
      </c>
      <c r="S19" s="24">
        <v>990284</v>
      </c>
      <c r="T19" s="24">
        <v>2750130</v>
      </c>
      <c r="U19" s="24">
        <v>3262692</v>
      </c>
      <c r="V19" s="24">
        <v>4120089</v>
      </c>
    </row>
    <row r="20" spans="1:22" x14ac:dyDescent="0.2">
      <c r="A20" s="7" t="s">
        <v>4</v>
      </c>
      <c r="B20" s="24">
        <v>10055134</v>
      </c>
      <c r="C20" s="24">
        <v>8483620</v>
      </c>
      <c r="D20" s="24">
        <v>8610961</v>
      </c>
      <c r="E20" s="24">
        <v>8203744</v>
      </c>
      <c r="F20" s="24">
        <v>8700871</v>
      </c>
      <c r="G20" s="24">
        <v>9784080</v>
      </c>
      <c r="H20" s="24">
        <v>10996628</v>
      </c>
      <c r="I20" s="24">
        <v>11221905</v>
      </c>
      <c r="J20" s="24">
        <v>10670993</v>
      </c>
      <c r="K20" s="24">
        <v>10112503</v>
      </c>
      <c r="L20" s="24">
        <v>10635667</v>
      </c>
      <c r="M20" s="24">
        <v>10135897</v>
      </c>
      <c r="N20" s="24">
        <v>10437822</v>
      </c>
      <c r="O20" s="24">
        <v>10119064</v>
      </c>
      <c r="P20" s="24">
        <v>10048237</v>
      </c>
      <c r="Q20" s="24">
        <v>10531506</v>
      </c>
      <c r="R20" s="24">
        <v>988790</v>
      </c>
      <c r="S20" s="24">
        <v>2933300</v>
      </c>
      <c r="T20" s="24">
        <v>6870336</v>
      </c>
      <c r="U20" s="24">
        <v>8464571</v>
      </c>
      <c r="V20" s="24">
        <v>8338231</v>
      </c>
    </row>
    <row r="21" spans="1:22" s="48" customFormat="1" x14ac:dyDescent="0.2">
      <c r="A21" s="49" t="s">
        <v>0</v>
      </c>
      <c r="B21" s="72">
        <v>116983742.64013714</v>
      </c>
      <c r="C21" s="72">
        <v>98247292.162798882</v>
      </c>
      <c r="D21" s="72">
        <v>108540252.35608579</v>
      </c>
      <c r="E21" s="72">
        <v>96669655.861935079</v>
      </c>
      <c r="F21" s="72">
        <v>109407112.57902046</v>
      </c>
      <c r="G21" s="72">
        <v>120653256.89734612</v>
      </c>
      <c r="H21" s="72">
        <v>128646486.713971</v>
      </c>
      <c r="I21" s="72">
        <v>133775734.06672896</v>
      </c>
      <c r="J21" s="72">
        <v>121506578.59736039</v>
      </c>
      <c r="K21" s="72">
        <v>111005197.45467325</v>
      </c>
      <c r="L21" s="72">
        <v>123733670.33352596</v>
      </c>
      <c r="M21" s="72">
        <v>118840672.02331899</v>
      </c>
      <c r="N21" s="72">
        <v>119536710.61322102</v>
      </c>
      <c r="O21" s="72">
        <v>114774680.9950642</v>
      </c>
      <c r="P21" s="72">
        <v>105099655.79934546</v>
      </c>
      <c r="Q21" s="72">
        <v>113655467.70375769</v>
      </c>
      <c r="R21" s="72">
        <v>8264816.8329221793</v>
      </c>
      <c r="S21" s="72">
        <v>21661935</v>
      </c>
      <c r="T21" s="72">
        <v>57241087.244105361</v>
      </c>
      <c r="U21" s="72">
        <v>78612550.73257637</v>
      </c>
      <c r="V21" s="72">
        <v>74158761.99842535</v>
      </c>
    </row>
  </sheetData>
  <phoneticPr fontId="21" type="noConversion"/>
  <hyperlinks>
    <hyperlink ref="A2" location="Sommaire!A1" display="Retour au menu &quot;Exploitation des films&quot;" xr:uid="{00000000-0004-0000-2C00-000000000000}"/>
  </hyperlinks>
  <pageMargins left="0.78740157499999996" right="0.78740157499999996" top="0.984251969" bottom="0.984251969" header="0.4921259845" footer="0.492125984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V21"/>
  <sheetViews>
    <sheetView workbookViewId="0"/>
  </sheetViews>
  <sheetFormatPr baseColWidth="10" defaultColWidth="5.5703125" defaultRowHeight="12" x14ac:dyDescent="0.2"/>
  <cols>
    <col min="1" max="1" width="29.85546875" style="46" customWidth="1"/>
    <col min="2" max="2" width="6.42578125" style="46" bestFit="1" customWidth="1"/>
    <col min="3" max="16" width="6.42578125" style="47" bestFit="1" customWidth="1"/>
    <col min="17" max="17" width="6.42578125" style="46" bestFit="1" customWidth="1"/>
    <col min="18" max="18" width="5.5703125" style="46"/>
    <col min="19" max="20" width="6.42578125" style="46" bestFit="1" customWidth="1"/>
    <col min="21" max="22" width="6.140625" style="46"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row>
    <row r="2" spans="1:22" s="40" customFormat="1" ht="12.75" x14ac:dyDescent="0.2">
      <c r="A2" s="38" t="s">
        <v>32</v>
      </c>
      <c r="B2" s="39"/>
      <c r="C2" s="39"/>
      <c r="D2" s="39"/>
      <c r="E2" s="39"/>
      <c r="F2" s="39"/>
      <c r="G2" s="39"/>
      <c r="H2" s="39"/>
      <c r="I2" s="39"/>
      <c r="J2" s="39"/>
      <c r="K2" s="39"/>
      <c r="L2" s="39"/>
      <c r="M2" s="39"/>
      <c r="N2" s="39"/>
      <c r="O2" s="39"/>
      <c r="P2" s="39"/>
      <c r="Q2" s="39"/>
      <c r="R2" s="39"/>
      <c r="S2" s="39"/>
      <c r="T2" s="39"/>
    </row>
    <row r="3" spans="1:22" s="36" customFormat="1" ht="12.75" x14ac:dyDescent="0.2">
      <c r="B3" s="37"/>
      <c r="C3" s="37"/>
      <c r="D3" s="37"/>
      <c r="E3" s="37"/>
      <c r="F3" s="37"/>
      <c r="G3" s="37"/>
      <c r="H3" s="37"/>
      <c r="I3" s="37"/>
      <c r="J3" s="37"/>
      <c r="K3" s="37"/>
      <c r="L3" s="37"/>
      <c r="M3" s="37"/>
      <c r="N3" s="37"/>
      <c r="O3" s="37"/>
      <c r="P3" s="37"/>
      <c r="Q3" s="37"/>
      <c r="R3" s="37"/>
      <c r="S3" s="37"/>
      <c r="T3" s="37"/>
    </row>
    <row r="4" spans="1:22" s="36" customFormat="1" ht="12.75" x14ac:dyDescent="0.2">
      <c r="B4" s="37"/>
      <c r="C4" s="37"/>
      <c r="D4" s="37"/>
      <c r="E4" s="37"/>
      <c r="F4" s="37"/>
      <c r="G4" s="37"/>
      <c r="H4" s="37"/>
      <c r="I4" s="37"/>
      <c r="J4" s="37"/>
      <c r="K4" s="37"/>
      <c r="L4" s="37"/>
      <c r="M4" s="37"/>
      <c r="N4" s="37"/>
      <c r="O4" s="37"/>
      <c r="P4" s="37"/>
      <c r="Q4" s="37"/>
      <c r="R4" s="37"/>
      <c r="S4" s="37"/>
      <c r="T4" s="37"/>
    </row>
    <row r="5" spans="1:22" ht="12.75" x14ac:dyDescent="0.2">
      <c r="A5" s="45" t="s">
        <v>106</v>
      </c>
    </row>
    <row r="6" spans="1:22" ht="3" customHeight="1" x14ac:dyDescent="0.2"/>
    <row r="7" spans="1:22" s="48" customFormat="1" x14ac:dyDescent="0.2">
      <c r="A7" s="11"/>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24">
        <v>81618766</v>
      </c>
      <c r="C8" s="24">
        <v>66616179</v>
      </c>
      <c r="D8" s="24">
        <v>71343793</v>
      </c>
      <c r="E8" s="24">
        <v>62095510</v>
      </c>
      <c r="F8" s="24">
        <v>71154904</v>
      </c>
      <c r="G8" s="24">
        <v>83685814</v>
      </c>
      <c r="H8" s="24">
        <v>96022704</v>
      </c>
      <c r="I8" s="24">
        <v>96952516</v>
      </c>
      <c r="J8" s="24">
        <v>86993938</v>
      </c>
      <c r="K8" s="24">
        <v>92600568</v>
      </c>
      <c r="L8" s="24">
        <v>98091571</v>
      </c>
      <c r="M8" s="24">
        <v>97407066</v>
      </c>
      <c r="N8" s="24">
        <v>100989319</v>
      </c>
      <c r="O8" s="24">
        <v>95482764</v>
      </c>
      <c r="P8" s="24">
        <v>91906978</v>
      </c>
      <c r="Q8" s="24">
        <v>97580180</v>
      </c>
      <c r="R8" s="24">
        <v>8161883</v>
      </c>
      <c r="S8" s="24">
        <v>18287333</v>
      </c>
      <c r="T8" s="24">
        <v>56120379</v>
      </c>
      <c r="U8" s="24">
        <v>86629762</v>
      </c>
      <c r="V8" s="24">
        <v>79294792</v>
      </c>
    </row>
    <row r="9" spans="1:22" x14ac:dyDescent="0.2">
      <c r="A9" s="7" t="s">
        <v>73</v>
      </c>
      <c r="B9" s="24">
        <v>17914487</v>
      </c>
      <c r="C9" s="24">
        <v>13063654</v>
      </c>
      <c r="D9" s="24">
        <v>13783879</v>
      </c>
      <c r="E9" s="24">
        <v>7112045</v>
      </c>
      <c r="F9" s="24">
        <v>16234263</v>
      </c>
      <c r="G9" s="24">
        <v>19589142</v>
      </c>
      <c r="H9" s="24">
        <v>20611774</v>
      </c>
      <c r="I9" s="24">
        <v>20697484</v>
      </c>
      <c r="J9" s="24">
        <v>13985795</v>
      </c>
      <c r="K9" s="24">
        <v>10789168</v>
      </c>
      <c r="L9" s="24">
        <v>21063669</v>
      </c>
      <c r="M9" s="24">
        <v>21223616</v>
      </c>
      <c r="N9" s="24">
        <v>22380268</v>
      </c>
      <c r="O9" s="24">
        <v>19258766</v>
      </c>
      <c r="P9" s="24">
        <v>18086936</v>
      </c>
      <c r="Q9" s="24">
        <v>22433998</v>
      </c>
      <c r="R9" s="24">
        <v>0</v>
      </c>
      <c r="S9" s="24">
        <v>0</v>
      </c>
      <c r="T9" s="24">
        <v>3836221</v>
      </c>
      <c r="U9" s="24">
        <v>12173462</v>
      </c>
      <c r="V9" s="24">
        <v>8179055</v>
      </c>
    </row>
    <row r="10" spans="1:22" x14ac:dyDescent="0.2">
      <c r="A10" s="7" t="s">
        <v>1</v>
      </c>
      <c r="B10" s="24">
        <v>17538419</v>
      </c>
      <c r="C10" s="24">
        <v>13546766</v>
      </c>
      <c r="D10" s="24">
        <v>17434531</v>
      </c>
      <c r="E10" s="24">
        <v>18959483</v>
      </c>
      <c r="F10" s="24">
        <v>18542439</v>
      </c>
      <c r="G10" s="24">
        <v>24808169</v>
      </c>
      <c r="H10" s="24">
        <v>28741019</v>
      </c>
      <c r="I10" s="24">
        <v>30001375</v>
      </c>
      <c r="J10" s="24">
        <v>28935423</v>
      </c>
      <c r="K10" s="24">
        <v>24498053</v>
      </c>
      <c r="L10" s="24">
        <v>28981808</v>
      </c>
      <c r="M10" s="24">
        <v>32683580</v>
      </c>
      <c r="N10" s="24">
        <v>33094169</v>
      </c>
      <c r="O10" s="24">
        <v>33636219</v>
      </c>
      <c r="P10" s="24">
        <v>31815604</v>
      </c>
      <c r="Q10" s="24">
        <v>31882294</v>
      </c>
      <c r="R10" s="24">
        <v>0</v>
      </c>
      <c r="S10" s="24">
        <v>4373992</v>
      </c>
      <c r="T10" s="24">
        <v>13626772</v>
      </c>
      <c r="U10" s="24">
        <v>26189433</v>
      </c>
      <c r="V10" s="24">
        <v>28031454</v>
      </c>
    </row>
    <row r="11" spans="1:22" x14ac:dyDescent="0.2">
      <c r="A11" s="7" t="s">
        <v>74</v>
      </c>
      <c r="B11" s="24">
        <v>17385175</v>
      </c>
      <c r="C11" s="24">
        <v>11751805</v>
      </c>
      <c r="D11" s="24">
        <v>18115959</v>
      </c>
      <c r="E11" s="24">
        <v>12113769</v>
      </c>
      <c r="F11" s="24">
        <v>16932704</v>
      </c>
      <c r="G11" s="24">
        <v>19075991</v>
      </c>
      <c r="H11" s="24">
        <v>20532779</v>
      </c>
      <c r="I11" s="24">
        <v>24712541</v>
      </c>
      <c r="J11" s="24">
        <v>19956926</v>
      </c>
      <c r="K11" s="24">
        <v>16939147</v>
      </c>
      <c r="L11" s="24">
        <v>25175381</v>
      </c>
      <c r="M11" s="24">
        <v>25449677</v>
      </c>
      <c r="N11" s="24">
        <v>26238233</v>
      </c>
      <c r="O11" s="24">
        <v>26454888</v>
      </c>
      <c r="P11" s="24">
        <v>22164277</v>
      </c>
      <c r="Q11" s="24">
        <v>29190070</v>
      </c>
      <c r="R11" s="24">
        <v>0</v>
      </c>
      <c r="S11" s="24">
        <v>5517331</v>
      </c>
      <c r="T11" s="24">
        <v>17929322</v>
      </c>
      <c r="U11" s="24">
        <v>20557163</v>
      </c>
      <c r="V11" s="24">
        <v>20553273</v>
      </c>
    </row>
    <row r="12" spans="1:22" x14ac:dyDescent="0.2">
      <c r="A12" s="7" t="s">
        <v>5</v>
      </c>
      <c r="B12" s="24">
        <v>0</v>
      </c>
      <c r="C12" s="24">
        <v>0</v>
      </c>
      <c r="D12" s="24">
        <v>0</v>
      </c>
      <c r="E12" s="24">
        <v>0</v>
      </c>
      <c r="F12" s="24">
        <v>0</v>
      </c>
      <c r="G12" s="24">
        <v>0</v>
      </c>
      <c r="H12" s="24">
        <v>0</v>
      </c>
      <c r="I12" s="24">
        <v>0</v>
      </c>
      <c r="J12" s="24">
        <v>0</v>
      </c>
      <c r="K12" s="24">
        <v>0</v>
      </c>
      <c r="L12" s="24">
        <v>0</v>
      </c>
      <c r="M12" s="24">
        <v>0</v>
      </c>
      <c r="N12" s="24">
        <v>0</v>
      </c>
      <c r="O12" s="24">
        <v>0</v>
      </c>
      <c r="P12" s="24">
        <v>0</v>
      </c>
      <c r="Q12" s="24">
        <v>0</v>
      </c>
      <c r="R12" s="24">
        <v>0</v>
      </c>
      <c r="S12" s="24">
        <v>0</v>
      </c>
      <c r="T12" s="24">
        <v>0</v>
      </c>
      <c r="U12" s="24">
        <v>0</v>
      </c>
      <c r="V12" s="24">
        <v>0</v>
      </c>
    </row>
    <row r="13" spans="1:22" x14ac:dyDescent="0.2">
      <c r="A13" s="7" t="s">
        <v>77</v>
      </c>
      <c r="B13" s="24">
        <v>53717602</v>
      </c>
      <c r="C13" s="24">
        <v>49036896</v>
      </c>
      <c r="D13" s="24">
        <v>53012034</v>
      </c>
      <c r="E13" s="24">
        <v>53364019</v>
      </c>
      <c r="F13" s="24">
        <v>56392630</v>
      </c>
      <c r="G13" s="24">
        <v>61748160</v>
      </c>
      <c r="H13" s="24">
        <v>63642530</v>
      </c>
      <c r="I13" s="24">
        <v>68452594</v>
      </c>
      <c r="J13" s="24">
        <v>63339258</v>
      </c>
      <c r="K13" s="24">
        <v>59405149</v>
      </c>
      <c r="L13" s="24">
        <v>61982012</v>
      </c>
      <c r="M13" s="24">
        <v>59336336</v>
      </c>
      <c r="N13" s="24">
        <v>63288014</v>
      </c>
      <c r="O13" s="24">
        <v>60826812</v>
      </c>
      <c r="P13" s="24">
        <v>54149009</v>
      </c>
      <c r="Q13" s="24">
        <v>64442737</v>
      </c>
      <c r="R13" s="24">
        <v>0</v>
      </c>
      <c r="S13" s="24">
        <v>4031985</v>
      </c>
      <c r="T13" s="24">
        <v>23965536</v>
      </c>
      <c r="U13" s="24">
        <v>41162025</v>
      </c>
      <c r="V13" s="24">
        <v>28029485</v>
      </c>
    </row>
    <row r="14" spans="1:22" x14ac:dyDescent="0.2">
      <c r="A14" s="7" t="s">
        <v>78</v>
      </c>
      <c r="B14" s="24">
        <v>49783637</v>
      </c>
      <c r="C14" s="24">
        <v>38181468</v>
      </c>
      <c r="D14" s="24">
        <v>47000797</v>
      </c>
      <c r="E14" s="24">
        <v>39479223</v>
      </c>
      <c r="F14" s="24">
        <v>59416348</v>
      </c>
      <c r="G14" s="24">
        <v>61254835</v>
      </c>
      <c r="H14" s="24">
        <v>67431482</v>
      </c>
      <c r="I14" s="24">
        <v>71056544</v>
      </c>
      <c r="J14" s="24">
        <v>67256603</v>
      </c>
      <c r="K14" s="24">
        <v>52886160</v>
      </c>
      <c r="L14" s="24">
        <v>62794774</v>
      </c>
      <c r="M14" s="24">
        <v>66232688</v>
      </c>
      <c r="N14" s="24">
        <v>67107767</v>
      </c>
      <c r="O14" s="24">
        <v>65783585</v>
      </c>
      <c r="P14" s="24">
        <v>62492368</v>
      </c>
      <c r="Q14" s="24">
        <v>67293417</v>
      </c>
      <c r="R14" s="24">
        <v>4132276</v>
      </c>
      <c r="S14" s="24">
        <v>10231732</v>
      </c>
      <c r="T14" s="24">
        <v>23368436</v>
      </c>
      <c r="U14" s="24">
        <v>40926541</v>
      </c>
      <c r="V14" s="24">
        <v>31517539</v>
      </c>
    </row>
    <row r="15" spans="1:22" x14ac:dyDescent="0.2">
      <c r="A15" s="7" t="s">
        <v>2</v>
      </c>
      <c r="B15" s="24">
        <v>278179000.49685502</v>
      </c>
      <c r="C15" s="24">
        <v>247400734.68847167</v>
      </c>
      <c r="D15" s="24">
        <v>272055958.85972524</v>
      </c>
      <c r="E15" s="24">
        <v>243513013.00270578</v>
      </c>
      <c r="F15" s="24">
        <v>262455619.18203178</v>
      </c>
      <c r="G15" s="24">
        <v>289103046.59280813</v>
      </c>
      <c r="H15" s="24">
        <v>299905944.68234378</v>
      </c>
      <c r="I15" s="24">
        <v>305404230.32780683</v>
      </c>
      <c r="J15" s="24">
        <v>300124856.29751468</v>
      </c>
      <c r="K15" s="24">
        <v>274455395.53601015</v>
      </c>
      <c r="L15" s="24">
        <v>289290072.2358706</v>
      </c>
      <c r="M15" s="24">
        <v>270758199.04498631</v>
      </c>
      <c r="N15" s="24">
        <v>274709796.35411716</v>
      </c>
      <c r="O15" s="24">
        <v>273937657.8075192</v>
      </c>
      <c r="P15" s="24">
        <v>256985676.85146096</v>
      </c>
      <c r="Q15" s="24">
        <v>290508942.55123955</v>
      </c>
      <c r="R15" s="24">
        <v>28850307.55564294</v>
      </c>
      <c r="S15" s="24">
        <v>69160589.409999996</v>
      </c>
      <c r="T15" s="24">
        <v>172641504.32030666</v>
      </c>
      <c r="U15" s="24">
        <v>233209932.93568078</v>
      </c>
      <c r="V15" s="24">
        <v>219297822.31470031</v>
      </c>
    </row>
    <row r="16" spans="1:22" x14ac:dyDescent="0.2">
      <c r="A16" s="7" t="s">
        <v>75</v>
      </c>
      <c r="B16" s="24">
        <v>28344282</v>
      </c>
      <c r="C16" s="24">
        <v>23548618</v>
      </c>
      <c r="D16" s="24">
        <v>23786797</v>
      </c>
      <c r="E16" s="24">
        <v>22089650</v>
      </c>
      <c r="F16" s="24">
        <v>23285892</v>
      </c>
      <c r="G16" s="24">
        <v>23434069</v>
      </c>
      <c r="H16" s="24">
        <v>30602882</v>
      </c>
      <c r="I16" s="24">
        <v>32890975</v>
      </c>
      <c r="J16" s="24">
        <v>29026706</v>
      </c>
      <c r="K16" s="24">
        <v>29703695</v>
      </c>
      <c r="L16" s="24">
        <v>32756660</v>
      </c>
      <c r="M16" s="24">
        <v>33281549</v>
      </c>
      <c r="N16" s="24">
        <v>31845738</v>
      </c>
      <c r="O16" s="24">
        <v>30716603</v>
      </c>
      <c r="P16" s="24">
        <v>29605493</v>
      </c>
      <c r="Q16" s="24">
        <v>30758227</v>
      </c>
      <c r="R16" s="24">
        <v>0</v>
      </c>
      <c r="S16" s="24">
        <v>4172555</v>
      </c>
      <c r="T16" s="24">
        <v>14658995</v>
      </c>
      <c r="U16" s="24">
        <v>25569807</v>
      </c>
      <c r="V16" s="24">
        <v>24448092</v>
      </c>
    </row>
    <row r="17" spans="1:22" x14ac:dyDescent="0.2">
      <c r="A17" s="7" t="s">
        <v>79</v>
      </c>
      <c r="B17" s="24">
        <v>37880659</v>
      </c>
      <c r="C17" s="24">
        <v>29606448</v>
      </c>
      <c r="D17" s="24">
        <v>32553842</v>
      </c>
      <c r="E17" s="24">
        <v>28169172</v>
      </c>
      <c r="F17" s="24">
        <v>32537747</v>
      </c>
      <c r="G17" s="24">
        <v>45092411</v>
      </c>
      <c r="H17" s="24">
        <v>50735739</v>
      </c>
      <c r="I17" s="24">
        <v>51766604</v>
      </c>
      <c r="J17" s="24">
        <v>44082588</v>
      </c>
      <c r="K17" s="24">
        <v>39161057</v>
      </c>
      <c r="L17" s="24">
        <v>43580048</v>
      </c>
      <c r="M17" s="24">
        <v>40810558</v>
      </c>
      <c r="N17" s="24">
        <v>38533232</v>
      </c>
      <c r="O17" s="24">
        <v>38437734</v>
      </c>
      <c r="P17" s="24">
        <v>34080247</v>
      </c>
      <c r="Q17" s="24">
        <v>38768521</v>
      </c>
      <c r="R17" s="24">
        <v>4140988</v>
      </c>
      <c r="S17" s="24">
        <v>6928370</v>
      </c>
      <c r="T17" s="24">
        <v>23908911</v>
      </c>
      <c r="U17" s="24">
        <v>28937401</v>
      </c>
      <c r="V17" s="24">
        <v>32417176</v>
      </c>
    </row>
    <row r="18" spans="1:22" x14ac:dyDescent="0.2">
      <c r="A18" s="7" t="s">
        <v>80</v>
      </c>
      <c r="B18" s="24">
        <v>48482361</v>
      </c>
      <c r="C18" s="24">
        <v>45402194</v>
      </c>
      <c r="D18" s="24">
        <v>50313444</v>
      </c>
      <c r="E18" s="24">
        <v>50307791</v>
      </c>
      <c r="F18" s="24">
        <v>51809818</v>
      </c>
      <c r="G18" s="24">
        <v>58190528</v>
      </c>
      <c r="H18" s="24">
        <v>63197969</v>
      </c>
      <c r="I18" s="24">
        <v>63729962</v>
      </c>
      <c r="J18" s="24">
        <v>57423572</v>
      </c>
      <c r="K18" s="24">
        <v>57620976</v>
      </c>
      <c r="L18" s="24">
        <v>60667923</v>
      </c>
      <c r="M18" s="24">
        <v>63527171</v>
      </c>
      <c r="N18" s="24">
        <v>65695335</v>
      </c>
      <c r="O18" s="24">
        <v>60445819</v>
      </c>
      <c r="P18" s="24">
        <v>53807797</v>
      </c>
      <c r="Q18" s="24">
        <v>60025345</v>
      </c>
      <c r="R18" s="24">
        <v>7175366</v>
      </c>
      <c r="S18" s="24">
        <v>18402465</v>
      </c>
      <c r="T18" s="24">
        <v>42411601</v>
      </c>
      <c r="U18" s="24">
        <v>50605840</v>
      </c>
      <c r="V18" s="24">
        <v>49264124</v>
      </c>
    </row>
    <row r="19" spans="1:22" x14ac:dyDescent="0.2">
      <c r="A19" s="7" t="s">
        <v>3</v>
      </c>
      <c r="B19" s="24">
        <v>31233608</v>
      </c>
      <c r="C19" s="24">
        <v>25479994</v>
      </c>
      <c r="D19" s="24">
        <v>32452297</v>
      </c>
      <c r="E19" s="24">
        <v>24629670</v>
      </c>
      <c r="F19" s="24">
        <v>29198196</v>
      </c>
      <c r="G19" s="24">
        <v>30670962</v>
      </c>
      <c r="H19" s="24">
        <v>38736193</v>
      </c>
      <c r="I19" s="24">
        <v>43192579</v>
      </c>
      <c r="J19" s="24">
        <v>35247415</v>
      </c>
      <c r="K19" s="24">
        <v>30740297</v>
      </c>
      <c r="L19" s="24">
        <v>41290797</v>
      </c>
      <c r="M19" s="24">
        <v>41036279</v>
      </c>
      <c r="N19" s="24">
        <v>37277759</v>
      </c>
      <c r="O19" s="24">
        <v>39164351</v>
      </c>
      <c r="P19" s="24">
        <v>31895875</v>
      </c>
      <c r="Q19" s="24">
        <v>34434775</v>
      </c>
      <c r="R19" s="24">
        <v>0</v>
      </c>
      <c r="S19" s="24">
        <v>7651140</v>
      </c>
      <c r="T19" s="24">
        <v>20964991</v>
      </c>
      <c r="U19" s="24">
        <v>26106734</v>
      </c>
      <c r="V19" s="24">
        <v>31622976</v>
      </c>
    </row>
    <row r="20" spans="1:22" x14ac:dyDescent="0.2">
      <c r="A20" s="7" t="s">
        <v>4</v>
      </c>
      <c r="B20" s="24">
        <v>66613967</v>
      </c>
      <c r="C20" s="24">
        <v>56841553</v>
      </c>
      <c r="D20" s="24">
        <v>58410344</v>
      </c>
      <c r="E20" s="24">
        <v>55988471</v>
      </c>
      <c r="F20" s="24">
        <v>59944592</v>
      </c>
      <c r="G20" s="24">
        <v>69527073</v>
      </c>
      <c r="H20" s="24">
        <v>82600236</v>
      </c>
      <c r="I20" s="24">
        <v>83403643</v>
      </c>
      <c r="J20" s="24">
        <v>80208483</v>
      </c>
      <c r="K20" s="24">
        <v>75165152</v>
      </c>
      <c r="L20" s="24">
        <v>78720011</v>
      </c>
      <c r="M20" s="24">
        <v>75816636</v>
      </c>
      <c r="N20" s="24">
        <v>79410335</v>
      </c>
      <c r="O20" s="24">
        <v>78084239</v>
      </c>
      <c r="P20" s="24">
        <v>78641522</v>
      </c>
      <c r="Q20" s="24">
        <v>85983078</v>
      </c>
      <c r="R20" s="24">
        <v>8105065</v>
      </c>
      <c r="S20" s="24">
        <v>26307089</v>
      </c>
      <c r="T20" s="24">
        <v>60232596</v>
      </c>
      <c r="U20" s="24">
        <v>76579002</v>
      </c>
      <c r="V20" s="24">
        <v>75469780</v>
      </c>
    </row>
    <row r="21" spans="1:22" s="48" customFormat="1" x14ac:dyDescent="0.2">
      <c r="A21" s="49" t="s">
        <v>0</v>
      </c>
      <c r="B21" s="72">
        <v>728691963.49685502</v>
      </c>
      <c r="C21" s="72">
        <v>620476309.68847167</v>
      </c>
      <c r="D21" s="72">
        <v>690263675.85972524</v>
      </c>
      <c r="E21" s="72">
        <v>617821816.00270581</v>
      </c>
      <c r="F21" s="72">
        <v>697905152.18203175</v>
      </c>
      <c r="G21" s="72">
        <v>786180200.59280813</v>
      </c>
      <c r="H21" s="72">
        <v>862761251.68234372</v>
      </c>
      <c r="I21" s="72">
        <v>892261047.32780683</v>
      </c>
      <c r="J21" s="72">
        <v>826581563.29751468</v>
      </c>
      <c r="K21" s="72">
        <v>763964817.53601015</v>
      </c>
      <c r="L21" s="72">
        <v>844394726.2358706</v>
      </c>
      <c r="M21" s="72">
        <v>827563355.04498625</v>
      </c>
      <c r="N21" s="72">
        <v>840569965.35411716</v>
      </c>
      <c r="O21" s="72">
        <v>822229437.8075192</v>
      </c>
      <c r="P21" s="72">
        <v>765631782.85146093</v>
      </c>
      <c r="Q21" s="72">
        <v>853301584.55123949</v>
      </c>
      <c r="R21" s="72">
        <v>60565885.55564294</v>
      </c>
      <c r="S21" s="72">
        <v>175064581.41</v>
      </c>
      <c r="T21" s="72">
        <v>473665264.32030666</v>
      </c>
      <c r="U21" s="72">
        <v>668647102.93568075</v>
      </c>
      <c r="V21" s="72">
        <v>628125568.31470037</v>
      </c>
    </row>
  </sheetData>
  <phoneticPr fontId="21" type="noConversion"/>
  <hyperlinks>
    <hyperlink ref="A2" location="Sommaire!A1" display="Retour au menu &quot;Exploitation des films&quot;" xr:uid="{00000000-0004-0000-2D00-000000000000}"/>
  </hyperlinks>
  <pageMargins left="0.78740157499999996" right="0.78740157499999996" top="0.984251969" bottom="0.984251969" header="0.4921259845" footer="0.4921259845"/>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22" width="5" style="46" bestFit="1" customWidth="1"/>
    <col min="23"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row>
    <row r="2" spans="1:22" s="40" customFormat="1" ht="12.75" x14ac:dyDescent="0.2">
      <c r="A2" s="38" t="s">
        <v>32</v>
      </c>
      <c r="B2" s="39"/>
      <c r="C2" s="39"/>
      <c r="D2" s="39"/>
      <c r="E2" s="39"/>
      <c r="F2" s="39"/>
      <c r="G2" s="39"/>
      <c r="H2" s="39"/>
      <c r="I2" s="39"/>
      <c r="J2" s="39"/>
      <c r="K2" s="39"/>
      <c r="L2" s="39"/>
      <c r="M2" s="39"/>
      <c r="N2" s="39"/>
      <c r="O2" s="39"/>
      <c r="P2" s="39"/>
      <c r="Q2" s="39"/>
      <c r="R2" s="39"/>
      <c r="S2" s="39"/>
      <c r="T2" s="39"/>
    </row>
    <row r="3" spans="1:22" s="36" customFormat="1" ht="12.75" x14ac:dyDescent="0.2">
      <c r="B3" s="37"/>
      <c r="C3" s="37"/>
      <c r="D3" s="37"/>
      <c r="E3" s="37"/>
      <c r="F3" s="37"/>
      <c r="G3" s="37"/>
      <c r="H3" s="37"/>
      <c r="I3" s="37"/>
      <c r="J3" s="37"/>
      <c r="K3" s="37"/>
      <c r="L3" s="37"/>
      <c r="M3" s="37"/>
      <c r="N3" s="37"/>
      <c r="O3" s="37"/>
      <c r="P3" s="37"/>
      <c r="Q3" s="37"/>
      <c r="R3" s="37"/>
      <c r="S3" s="37"/>
      <c r="T3" s="37"/>
    </row>
    <row r="4" spans="1:22" s="36" customFormat="1" ht="12.75" x14ac:dyDescent="0.2">
      <c r="B4" s="37"/>
      <c r="C4" s="37"/>
      <c r="D4" s="37"/>
      <c r="E4" s="37"/>
      <c r="F4" s="37"/>
      <c r="G4" s="37"/>
      <c r="H4" s="37"/>
      <c r="I4" s="37"/>
      <c r="J4" s="37"/>
      <c r="K4" s="37"/>
      <c r="L4" s="37"/>
      <c r="M4" s="37"/>
      <c r="N4" s="37"/>
      <c r="O4" s="37"/>
      <c r="P4" s="37"/>
      <c r="Q4" s="37"/>
      <c r="R4" s="37"/>
      <c r="S4" s="37"/>
      <c r="T4" s="37"/>
    </row>
    <row r="5" spans="1:22" ht="12.75" x14ac:dyDescent="0.2">
      <c r="A5" s="45" t="s">
        <v>105</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3">
        <v>6.1867494227028184</v>
      </c>
      <c r="C8" s="73">
        <v>6.3441025460814258</v>
      </c>
      <c r="D8" s="73">
        <v>6.4574990803938519</v>
      </c>
      <c r="E8" s="73">
        <v>6.5020754743455207</v>
      </c>
      <c r="F8" s="73">
        <v>6.5340369098513813</v>
      </c>
      <c r="G8" s="73">
        <v>6.7117357389534336</v>
      </c>
      <c r="H8" s="73">
        <v>6.9874896021994912</v>
      </c>
      <c r="I8" s="73">
        <v>6.9351852050551219</v>
      </c>
      <c r="J8" s="73">
        <v>7.075422344715987</v>
      </c>
      <c r="K8" s="73">
        <v>7.1053261458975392</v>
      </c>
      <c r="L8" s="73">
        <v>7.0330473364041453</v>
      </c>
      <c r="M8" s="73">
        <v>7.1435712595813348</v>
      </c>
      <c r="N8" s="73">
        <v>7.2075832223117278</v>
      </c>
      <c r="O8" s="73">
        <v>7.3358494845270528</v>
      </c>
      <c r="P8" s="73">
        <v>7.3733865824180143</v>
      </c>
      <c r="Q8" s="73">
        <v>7.6103706433964557</v>
      </c>
      <c r="R8" s="73">
        <v>7.5020754630267934</v>
      </c>
      <c r="S8" s="73">
        <v>8.2356639593245689</v>
      </c>
      <c r="T8" s="73">
        <v>8.3059743706476077</v>
      </c>
      <c r="U8" s="73">
        <v>8.6773754367998261</v>
      </c>
      <c r="V8" s="73">
        <v>8.680049123766473</v>
      </c>
    </row>
    <row r="9" spans="1:22" x14ac:dyDescent="0.2">
      <c r="A9" s="7" t="s">
        <v>73</v>
      </c>
      <c r="B9" s="73">
        <v>5.8644998222431148</v>
      </c>
      <c r="C9" s="73">
        <v>5.9125548715827323</v>
      </c>
      <c r="D9" s="73">
        <v>5.9722257004666819</v>
      </c>
      <c r="E9" s="73">
        <v>6.0955874979537228</v>
      </c>
      <c r="F9" s="73">
        <v>5.9721962971805613</v>
      </c>
      <c r="G9" s="73">
        <v>6.0115061400450749</v>
      </c>
      <c r="H9" s="73">
        <v>6.2546178077706562</v>
      </c>
      <c r="I9" s="73">
        <v>6.1533451361109996</v>
      </c>
      <c r="J9" s="73">
        <v>6.313618447989982</v>
      </c>
      <c r="K9" s="73">
        <v>6.3407918314429965</v>
      </c>
      <c r="L9" s="73">
        <v>6.2038529642536524</v>
      </c>
      <c r="M9" s="73">
        <v>6.3554930162875927</v>
      </c>
      <c r="N9" s="73">
        <v>6.4324608323010288</v>
      </c>
      <c r="O9" s="73">
        <v>6.5605731978303075</v>
      </c>
      <c r="P9" s="73">
        <v>6.6456409849413438</v>
      </c>
      <c r="Q9" s="73">
        <v>6.7279596622284439</v>
      </c>
      <c r="R9" s="73">
        <v>0</v>
      </c>
      <c r="S9" s="73">
        <v>0</v>
      </c>
      <c r="T9" s="73">
        <v>8.4427036222746015</v>
      </c>
      <c r="U9" s="73">
        <v>7.5135504792306635</v>
      </c>
      <c r="V9" s="73">
        <v>6.9573215130264954</v>
      </c>
    </row>
    <row r="10" spans="1:22" x14ac:dyDescent="0.2">
      <c r="A10" s="7" t="s">
        <v>1</v>
      </c>
      <c r="B10" s="73">
        <v>5.7836340060849052</v>
      </c>
      <c r="C10" s="73">
        <v>5.8766324019864724</v>
      </c>
      <c r="D10" s="73">
        <v>5.9713862380076712</v>
      </c>
      <c r="E10" s="73">
        <v>6.0444216532645392</v>
      </c>
      <c r="F10" s="73">
        <v>6.1350049629433565</v>
      </c>
      <c r="G10" s="73">
        <v>6.410538607676056</v>
      </c>
      <c r="H10" s="73">
        <v>6.3855535638746002</v>
      </c>
      <c r="I10" s="73">
        <v>6.3880024758762817</v>
      </c>
      <c r="J10" s="73">
        <v>6.4080318583153604</v>
      </c>
      <c r="K10" s="73">
        <v>6.6350074020066945</v>
      </c>
      <c r="L10" s="73">
        <v>6.5046693565020979</v>
      </c>
      <c r="M10" s="73">
        <v>6.6985132282169992</v>
      </c>
      <c r="N10" s="73">
        <v>6.7204496874541819</v>
      </c>
      <c r="O10" s="73">
        <v>6.8815360971412227</v>
      </c>
      <c r="P10" s="73">
        <v>6.9540054223382501</v>
      </c>
      <c r="Q10" s="73">
        <v>7.3302066472925249</v>
      </c>
      <c r="R10" s="73">
        <v>0</v>
      </c>
      <c r="S10" s="73">
        <v>8.2506512442963071</v>
      </c>
      <c r="T10" s="73">
        <v>8.6521439605729427</v>
      </c>
      <c r="U10" s="73">
        <v>8.3776401413769381</v>
      </c>
      <c r="V10" s="73">
        <v>8.1542110257366485</v>
      </c>
    </row>
    <row r="11" spans="1:22" x14ac:dyDescent="0.2">
      <c r="A11" s="7" t="s">
        <v>74</v>
      </c>
      <c r="B11" s="73">
        <v>5.8692713567924022</v>
      </c>
      <c r="C11" s="73">
        <v>5.8937399038189078</v>
      </c>
      <c r="D11" s="73">
        <v>5.8756830951129162</v>
      </c>
      <c r="E11" s="73">
        <v>5.9620520993084005</v>
      </c>
      <c r="F11" s="73">
        <v>5.7058060194222522</v>
      </c>
      <c r="G11" s="73">
        <v>6.0983495190945947</v>
      </c>
      <c r="H11" s="73">
        <v>6.4538957803897903</v>
      </c>
      <c r="I11" s="73">
        <v>6.5167264345410585</v>
      </c>
      <c r="J11" s="73">
        <v>6.3656344414730741</v>
      </c>
      <c r="K11" s="73">
        <v>6.7347010421421087</v>
      </c>
      <c r="L11" s="73">
        <v>6.7159798419614471</v>
      </c>
      <c r="M11" s="73">
        <v>6.9633055135031015</v>
      </c>
      <c r="N11" s="73">
        <v>6.9160750001845113</v>
      </c>
      <c r="O11" s="73">
        <v>7.0660140247149945</v>
      </c>
      <c r="P11" s="73">
        <v>7.0553480104638382</v>
      </c>
      <c r="Q11" s="73">
        <v>7.361410865608045</v>
      </c>
      <c r="R11" s="73">
        <v>0</v>
      </c>
      <c r="S11" s="73">
        <v>7.2924910484986984</v>
      </c>
      <c r="T11" s="73">
        <v>7.9624865214386844</v>
      </c>
      <c r="U11" s="73">
        <v>8.2654487921772972</v>
      </c>
      <c r="V11" s="73">
        <v>8.3321501267055389</v>
      </c>
    </row>
    <row r="12" spans="1:22" x14ac:dyDescent="0.2">
      <c r="A12" s="7" t="s">
        <v>5</v>
      </c>
      <c r="B12" s="73">
        <v>0</v>
      </c>
      <c r="C12" s="73">
        <v>0</v>
      </c>
      <c r="D12" s="73">
        <v>0</v>
      </c>
      <c r="E12" s="73">
        <v>0</v>
      </c>
      <c r="F12" s="73">
        <v>0</v>
      </c>
      <c r="G12" s="73">
        <v>0</v>
      </c>
      <c r="H12" s="73">
        <v>0</v>
      </c>
      <c r="I12" s="73">
        <v>0</v>
      </c>
      <c r="J12" s="73">
        <v>0</v>
      </c>
      <c r="K12" s="73">
        <v>0</v>
      </c>
      <c r="L12" s="73">
        <v>0</v>
      </c>
      <c r="M12" s="73">
        <v>0</v>
      </c>
      <c r="N12" s="73">
        <v>0</v>
      </c>
      <c r="O12" s="73">
        <v>0</v>
      </c>
      <c r="P12" s="73">
        <v>0</v>
      </c>
      <c r="Q12" s="73">
        <v>0</v>
      </c>
      <c r="R12" s="73">
        <v>0</v>
      </c>
      <c r="S12" s="73">
        <v>0</v>
      </c>
      <c r="T12" s="73">
        <v>0</v>
      </c>
      <c r="U12" s="73">
        <v>0</v>
      </c>
      <c r="V12" s="73">
        <v>0</v>
      </c>
    </row>
    <row r="13" spans="1:22" x14ac:dyDescent="0.2">
      <c r="A13" s="7" t="s">
        <v>77</v>
      </c>
      <c r="B13" s="73">
        <v>5.989141242340704</v>
      </c>
      <c r="C13" s="73">
        <v>5.9999302574076729</v>
      </c>
      <c r="D13" s="73">
        <v>6.0957587289847552</v>
      </c>
      <c r="E13" s="73">
        <v>6.109769846412</v>
      </c>
      <c r="F13" s="73">
        <v>6.1403813653397901</v>
      </c>
      <c r="G13" s="73">
        <v>6.3693177674602639</v>
      </c>
      <c r="H13" s="73">
        <v>6.6123043400924937</v>
      </c>
      <c r="I13" s="73">
        <v>6.5509563746763879</v>
      </c>
      <c r="J13" s="73">
        <v>6.6363905826691365</v>
      </c>
      <c r="K13" s="73">
        <v>6.6814593426823663</v>
      </c>
      <c r="L13" s="73">
        <v>6.5825238284831364</v>
      </c>
      <c r="M13" s="73">
        <v>6.7812870178106062</v>
      </c>
      <c r="N13" s="73">
        <v>6.8118750562382111</v>
      </c>
      <c r="O13" s="73">
        <v>7.0060506516901562</v>
      </c>
      <c r="P13" s="73">
        <v>7.1031312198627914</v>
      </c>
      <c r="Q13" s="73">
        <v>7.2601938921199487</v>
      </c>
      <c r="R13" s="73">
        <v>0</v>
      </c>
      <c r="S13" s="73">
        <v>7.2510543021823377</v>
      </c>
      <c r="T13" s="73">
        <v>7.8188226972752677</v>
      </c>
      <c r="U13" s="73">
        <v>8.0750291420448601</v>
      </c>
      <c r="V13" s="73">
        <v>8.0912462826636311</v>
      </c>
    </row>
    <row r="14" spans="1:22" x14ac:dyDescent="0.2">
      <c r="A14" s="7" t="s">
        <v>78</v>
      </c>
      <c r="B14" s="73">
        <v>6.0534894576905014</v>
      </c>
      <c r="C14" s="73">
        <v>6.1172398114142537</v>
      </c>
      <c r="D14" s="73">
        <v>6.2174363325473037</v>
      </c>
      <c r="E14" s="73">
        <v>6.3259074563054343</v>
      </c>
      <c r="F14" s="73">
        <v>6.3559105043064958</v>
      </c>
      <c r="G14" s="73">
        <v>6.6026070316687777</v>
      </c>
      <c r="H14" s="73">
        <v>6.8017843422794888</v>
      </c>
      <c r="I14" s="73">
        <v>6.5959007629747193</v>
      </c>
      <c r="J14" s="73">
        <v>6.721411695667169</v>
      </c>
      <c r="K14" s="73">
        <v>6.77186591833118</v>
      </c>
      <c r="L14" s="73">
        <v>6.6566738284869142</v>
      </c>
      <c r="M14" s="73">
        <v>6.808226528453182</v>
      </c>
      <c r="N14" s="73">
        <v>6.8584332818107603</v>
      </c>
      <c r="O14" s="73">
        <v>6.9651168096971841</v>
      </c>
      <c r="P14" s="73">
        <v>7.2009321563998405</v>
      </c>
      <c r="Q14" s="73">
        <v>7.3200197105100422</v>
      </c>
      <c r="R14" s="73">
        <v>7.8093452645305161</v>
      </c>
      <c r="S14" s="73">
        <v>7.9554229616999175</v>
      </c>
      <c r="T14" s="73">
        <v>8.1131360011609814</v>
      </c>
      <c r="U14" s="73">
        <v>8.3492626710718376</v>
      </c>
      <c r="V14" s="73">
        <v>8.2083957193207446</v>
      </c>
    </row>
    <row r="15" spans="1:22" x14ac:dyDescent="0.2">
      <c r="A15" s="7" t="s">
        <v>2</v>
      </c>
      <c r="B15" s="73">
        <v>6.5016108906917092</v>
      </c>
      <c r="C15" s="73">
        <v>6.540106904887713</v>
      </c>
      <c r="D15" s="73">
        <v>6.5658899606930126</v>
      </c>
      <c r="E15" s="73">
        <v>6.5791461105965618</v>
      </c>
      <c r="F15" s="73">
        <v>6.5382822972397374</v>
      </c>
      <c r="G15" s="73">
        <v>6.6299991128004194</v>
      </c>
      <c r="H15" s="73">
        <v>6.7446175153883967</v>
      </c>
      <c r="I15" s="73">
        <v>6.7251472559829244</v>
      </c>
      <c r="J15" s="73">
        <v>6.8687426111780763</v>
      </c>
      <c r="K15" s="73">
        <v>6.9613529705374848</v>
      </c>
      <c r="L15" s="73">
        <v>6.9397964092090154</v>
      </c>
      <c r="M15" s="73">
        <v>7.0565488545055546</v>
      </c>
      <c r="N15" s="73">
        <v>7.1303881921038563</v>
      </c>
      <c r="O15" s="73">
        <v>7.2694509721945435</v>
      </c>
      <c r="P15" s="73">
        <v>7.3818622458164747</v>
      </c>
      <c r="Q15" s="73">
        <v>7.6034515833969607</v>
      </c>
      <c r="R15" s="73">
        <v>7.1371182203599641</v>
      </c>
      <c r="S15" s="73">
        <v>7.884814895971151</v>
      </c>
      <c r="T15" s="73">
        <v>8.2307110745745309</v>
      </c>
      <c r="U15" s="73">
        <v>8.5414788229931258</v>
      </c>
      <c r="V15" s="73">
        <v>8.5705495456624075</v>
      </c>
    </row>
    <row r="16" spans="1:22" x14ac:dyDescent="0.2">
      <c r="A16" s="7" t="s">
        <v>75</v>
      </c>
      <c r="B16" s="73">
        <v>5.9201687473591456</v>
      </c>
      <c r="C16" s="73">
        <v>6.1782748090000839</v>
      </c>
      <c r="D16" s="73">
        <v>6.1158860641352044</v>
      </c>
      <c r="E16" s="73">
        <v>6.1414268742978182</v>
      </c>
      <c r="F16" s="73">
        <v>5.9594384701631293</v>
      </c>
      <c r="G16" s="73">
        <v>5.6309142867990118</v>
      </c>
      <c r="H16" s="73">
        <v>5.8617137423938974</v>
      </c>
      <c r="I16" s="73">
        <v>5.8597968034499974</v>
      </c>
      <c r="J16" s="73">
        <v>6.1650941733142401</v>
      </c>
      <c r="K16" s="73">
        <v>6.348735401595194</v>
      </c>
      <c r="L16" s="73">
        <v>6.5576246966589142</v>
      </c>
      <c r="M16" s="73">
        <v>6.7593891323911386</v>
      </c>
      <c r="N16" s="73">
        <v>7.0332712732476859</v>
      </c>
      <c r="O16" s="73">
        <v>7.1432515202599394</v>
      </c>
      <c r="P16" s="73">
        <v>7.4439320706308143</v>
      </c>
      <c r="Q16" s="73">
        <v>7.6609908304409933</v>
      </c>
      <c r="R16" s="73">
        <v>0</v>
      </c>
      <c r="S16" s="73">
        <v>8.4059692171320357</v>
      </c>
      <c r="T16" s="73">
        <v>9.0928852909085389</v>
      </c>
      <c r="U16" s="73">
        <v>8.9017289745980275</v>
      </c>
      <c r="V16" s="73">
        <v>8.8672989477738806</v>
      </c>
    </row>
    <row r="17" spans="1:22" x14ac:dyDescent="0.2">
      <c r="A17" s="7" t="s">
        <v>79</v>
      </c>
      <c r="B17" s="73">
        <v>5.4747901716218585</v>
      </c>
      <c r="C17" s="73">
        <v>5.5930249011090858</v>
      </c>
      <c r="D17" s="73">
        <v>5.6744132294617025</v>
      </c>
      <c r="E17" s="73">
        <v>5.749103933874177</v>
      </c>
      <c r="F17" s="73">
        <v>5.840410939233263</v>
      </c>
      <c r="G17" s="73">
        <v>6.2075967340067946</v>
      </c>
      <c r="H17" s="73">
        <v>6.3548494491896887</v>
      </c>
      <c r="I17" s="73">
        <v>6.416270359236794</v>
      </c>
      <c r="J17" s="73">
        <v>6.4575415203746322</v>
      </c>
      <c r="K17" s="73">
        <v>6.4208369554773865</v>
      </c>
      <c r="L17" s="73">
        <v>6.416422726066755</v>
      </c>
      <c r="M17" s="73">
        <v>6.6251174720676627</v>
      </c>
      <c r="N17" s="73">
        <v>6.543407785170074</v>
      </c>
      <c r="O17" s="73">
        <v>6.7753800887972604</v>
      </c>
      <c r="P17" s="73">
        <v>6.8334569482299212</v>
      </c>
      <c r="Q17" s="73">
        <v>6.9914009881028036</v>
      </c>
      <c r="R17" s="73">
        <v>6.4360119302030281</v>
      </c>
      <c r="S17" s="73">
        <v>6.8164171644904092</v>
      </c>
      <c r="T17" s="73">
        <v>7.4937160871178685</v>
      </c>
      <c r="U17" s="73">
        <v>7.7733546622826815</v>
      </c>
      <c r="V17" s="73">
        <v>7.7657648938642234</v>
      </c>
    </row>
    <row r="18" spans="1:22" x14ac:dyDescent="0.2">
      <c r="A18" s="7" t="s">
        <v>80</v>
      </c>
      <c r="B18" s="73">
        <v>6.0692480244921292</v>
      </c>
      <c r="C18" s="73">
        <v>6.1710510953290258</v>
      </c>
      <c r="D18" s="73">
        <v>6.2506530373410891</v>
      </c>
      <c r="E18" s="73">
        <v>6.1926602613538009</v>
      </c>
      <c r="F18" s="73">
        <v>6.2841879644702576</v>
      </c>
      <c r="G18" s="73">
        <v>6.359487796484248</v>
      </c>
      <c r="H18" s="73">
        <v>6.6349441402689067</v>
      </c>
      <c r="I18" s="73">
        <v>6.6648297675130719</v>
      </c>
      <c r="J18" s="73">
        <v>6.8144120953393488</v>
      </c>
      <c r="K18" s="73">
        <v>6.8389245718089162</v>
      </c>
      <c r="L18" s="73">
        <v>6.838578545967203</v>
      </c>
      <c r="M18" s="73">
        <v>6.9827281622571187</v>
      </c>
      <c r="N18" s="73">
        <v>7.1000361295376315</v>
      </c>
      <c r="O18" s="73">
        <v>7.2436023601995894</v>
      </c>
      <c r="P18" s="73">
        <v>7.3300415136276786</v>
      </c>
      <c r="Q18" s="73">
        <v>7.5963112448678531</v>
      </c>
      <c r="R18" s="73">
        <v>7.3727189406020353</v>
      </c>
      <c r="S18" s="73">
        <v>8.7432065120561688</v>
      </c>
      <c r="T18" s="73">
        <v>8.7274803597948534</v>
      </c>
      <c r="U18" s="73">
        <v>8.7691903540333964</v>
      </c>
      <c r="V18" s="73">
        <v>8.7001520898043321</v>
      </c>
    </row>
    <row r="19" spans="1:22" x14ac:dyDescent="0.2">
      <c r="A19" s="7" t="s">
        <v>3</v>
      </c>
      <c r="B19" s="73">
        <v>6.2311064472432083</v>
      </c>
      <c r="C19" s="73">
        <v>6.2920820746491017</v>
      </c>
      <c r="D19" s="73">
        <v>6.2362822551029646</v>
      </c>
      <c r="E19" s="73">
        <v>6.2004392477203076</v>
      </c>
      <c r="F19" s="73">
        <v>6.1971647917316224</v>
      </c>
      <c r="G19" s="73">
        <v>6.1455050456881031</v>
      </c>
      <c r="H19" s="73">
        <v>6.2521223231580292</v>
      </c>
      <c r="I19" s="73">
        <v>6.3108082539099035</v>
      </c>
      <c r="J19" s="73">
        <v>6.4459040179306202</v>
      </c>
      <c r="K19" s="73">
        <v>6.651372768192811</v>
      </c>
      <c r="L19" s="73">
        <v>6.4946736524874007</v>
      </c>
      <c r="M19" s="73">
        <v>6.655168107696352</v>
      </c>
      <c r="N19" s="73">
        <v>6.6352255898728405</v>
      </c>
      <c r="O19" s="73">
        <v>6.5886653227237773</v>
      </c>
      <c r="P19" s="73">
        <v>6.7453090248045884</v>
      </c>
      <c r="Q19" s="73">
        <v>7.0074052895215866</v>
      </c>
      <c r="R19" s="73">
        <v>0</v>
      </c>
      <c r="S19" s="73">
        <v>7.7262078353280472</v>
      </c>
      <c r="T19" s="73">
        <v>7.6232727180169668</v>
      </c>
      <c r="U19" s="73">
        <v>8.0015931629464259</v>
      </c>
      <c r="V19" s="73">
        <v>7.6753138099686682</v>
      </c>
    </row>
    <row r="20" spans="1:22" x14ac:dyDescent="0.2">
      <c r="A20" s="7" t="s">
        <v>4</v>
      </c>
      <c r="B20" s="73">
        <v>6.6248711354816354</v>
      </c>
      <c r="C20" s="73">
        <v>6.7001531185979566</v>
      </c>
      <c r="D20" s="73">
        <v>6.7832549700318001</v>
      </c>
      <c r="E20" s="73">
        <v>6.8247462378153196</v>
      </c>
      <c r="F20" s="73">
        <v>6.8894932472852428</v>
      </c>
      <c r="G20" s="73">
        <v>7.1061431427379986</v>
      </c>
      <c r="H20" s="73">
        <v>7.5114149537476393</v>
      </c>
      <c r="I20" s="73">
        <v>7.4322178810103985</v>
      </c>
      <c r="J20" s="73">
        <v>7.5164966371920592</v>
      </c>
      <c r="K20" s="73">
        <v>7.4328929247289226</v>
      </c>
      <c r="L20" s="73">
        <v>7.4015114425827733</v>
      </c>
      <c r="M20" s="73">
        <v>7.4800124744756191</v>
      </c>
      <c r="N20" s="73">
        <v>7.6079411011224369</v>
      </c>
      <c r="O20" s="73">
        <v>7.7165475976829478</v>
      </c>
      <c r="P20" s="73">
        <v>7.8263999943472671</v>
      </c>
      <c r="Q20" s="73">
        <v>8.1643668056591334</v>
      </c>
      <c r="R20" s="73">
        <v>8.1969528413515516</v>
      </c>
      <c r="S20" s="73">
        <v>8.9684277094057894</v>
      </c>
      <c r="T20" s="73">
        <v>8.7670524411033171</v>
      </c>
      <c r="U20" s="73">
        <v>9.0470033271621215</v>
      </c>
      <c r="V20" s="73">
        <v>9.051054114475841</v>
      </c>
    </row>
    <row r="21" spans="1:22" s="48" customFormat="1" x14ac:dyDescent="0.2">
      <c r="A21" s="49" t="s">
        <v>0</v>
      </c>
      <c r="B21" s="79">
        <v>6.2290019711409093</v>
      </c>
      <c r="C21" s="79">
        <v>6.3154545639825139</v>
      </c>
      <c r="D21" s="79">
        <v>6.359517882777638</v>
      </c>
      <c r="E21" s="79">
        <v>6.3910625365739104</v>
      </c>
      <c r="F21" s="79">
        <v>6.3789742342204878</v>
      </c>
      <c r="G21" s="79">
        <v>6.5160296606141666</v>
      </c>
      <c r="H21" s="79">
        <v>6.7064501621453756</v>
      </c>
      <c r="I21" s="79">
        <v>6.6698273311865073</v>
      </c>
      <c r="J21" s="79">
        <v>6.8027721036947328</v>
      </c>
      <c r="K21" s="79">
        <v>6.8822436701485072</v>
      </c>
      <c r="L21" s="79">
        <v>6.8242922396126451</v>
      </c>
      <c r="M21" s="79">
        <v>6.9636374563970929</v>
      </c>
      <c r="N21" s="79">
        <v>7.0318980758464029</v>
      </c>
      <c r="O21" s="79">
        <v>7.1638573131201175</v>
      </c>
      <c r="P21" s="79">
        <v>7.2848172244559253</v>
      </c>
      <c r="Q21" s="79">
        <v>7.5077917656840327</v>
      </c>
      <c r="R21" s="79">
        <v>7.3281582375043088</v>
      </c>
      <c r="S21" s="79">
        <v>8.0816686694886677</v>
      </c>
      <c r="T21" s="79">
        <v>8.2749173211954368</v>
      </c>
      <c r="U21" s="79">
        <v>8.5056024350396644</v>
      </c>
      <c r="V21" s="79">
        <v>8.4700115183697058</v>
      </c>
    </row>
  </sheetData>
  <phoneticPr fontId="21" type="noConversion"/>
  <hyperlinks>
    <hyperlink ref="A2" location="Sommaire!A1" display="Retour au menu &quot;Exploitation des films&quot;" xr:uid="{00000000-0004-0000-2E00-000000000000}"/>
  </hyperlinks>
  <pageMargins left="0.78740157499999996" right="0.78740157499999996" top="0.984251969" bottom="0.984251969" header="0.4921259845" footer="0.4921259845"/>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104</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3">
        <v>1.7931354880660944</v>
      </c>
      <c r="C8" s="73">
        <v>1.2727084860007374</v>
      </c>
      <c r="D8" s="73">
        <v>1.3390945961374976</v>
      </c>
      <c r="E8" s="73">
        <v>1.1575176116470918</v>
      </c>
      <c r="F8" s="73">
        <v>1.3199049852215126</v>
      </c>
      <c r="G8" s="73">
        <v>1.5112503402821598</v>
      </c>
      <c r="H8" s="73">
        <v>1.6656056004322644</v>
      </c>
      <c r="I8" s="73">
        <v>1.6944175302702646</v>
      </c>
      <c r="J8" s="73">
        <v>1.4902393865297474</v>
      </c>
      <c r="K8" s="73">
        <v>1.5796069962254435</v>
      </c>
      <c r="L8" s="73">
        <v>1.6904703784228508</v>
      </c>
      <c r="M8" s="73">
        <v>1.6527017858056221</v>
      </c>
      <c r="N8" s="73">
        <v>1.6982639610225119</v>
      </c>
      <c r="O8" s="73">
        <v>1.5775894230002379</v>
      </c>
      <c r="P8" s="73">
        <v>1.5107788540484668</v>
      </c>
      <c r="Q8" s="73">
        <v>1.5540866220811185</v>
      </c>
      <c r="R8" s="73">
        <v>0.13186463957483335</v>
      </c>
      <c r="S8" s="73">
        <v>0.26913561422778193</v>
      </c>
      <c r="T8" s="73">
        <v>0.81893498410885346</v>
      </c>
      <c r="U8" s="73">
        <v>1.2100356026648547</v>
      </c>
      <c r="V8" s="73">
        <v>1.1072403316838992</v>
      </c>
    </row>
    <row r="9" spans="1:22" x14ac:dyDescent="0.2">
      <c r="A9" s="7" t="s">
        <v>73</v>
      </c>
      <c r="B9" s="73">
        <v>1.099038266771867</v>
      </c>
      <c r="C9" s="73">
        <v>0.76867308840371773</v>
      </c>
      <c r="D9" s="73">
        <v>0.80294801983298103</v>
      </c>
      <c r="E9" s="73">
        <v>0.40591127760746226</v>
      </c>
      <c r="F9" s="73">
        <v>0.94569413346210207</v>
      </c>
      <c r="G9" s="73">
        <v>1.1336638830171402</v>
      </c>
      <c r="H9" s="73">
        <v>1.1464808008895062</v>
      </c>
      <c r="I9" s="73">
        <v>1.1701956301201919</v>
      </c>
      <c r="J9" s="73">
        <v>0.77065680398440861</v>
      </c>
      <c r="K9" s="73">
        <v>0.59196584752873982</v>
      </c>
      <c r="L9" s="73">
        <v>1.1812034773121662</v>
      </c>
      <c r="M9" s="73">
        <v>1.1617757976958005</v>
      </c>
      <c r="N9" s="73">
        <v>1.2104317973395529</v>
      </c>
      <c r="O9" s="73">
        <v>1.0212659737462098</v>
      </c>
      <c r="P9" s="73">
        <v>0.94684811181726714</v>
      </c>
      <c r="Q9" s="73">
        <v>1.1600467436031956</v>
      </c>
      <c r="R9" s="73">
        <v>0</v>
      </c>
      <c r="S9" s="73">
        <v>0</v>
      </c>
      <c r="T9" s="73">
        <v>0.15807903134006215</v>
      </c>
      <c r="U9" s="73">
        <v>0.56366502412326169</v>
      </c>
      <c r="V9" s="73">
        <v>0.40899052464441327</v>
      </c>
    </row>
    <row r="10" spans="1:22" x14ac:dyDescent="0.2">
      <c r="A10" s="7" t="s">
        <v>1</v>
      </c>
      <c r="B10" s="73">
        <v>0.97992848034631386</v>
      </c>
      <c r="C10" s="73">
        <v>0.66557892314546319</v>
      </c>
      <c r="D10" s="73">
        <v>0.84299997776776203</v>
      </c>
      <c r="E10" s="73">
        <v>0.90565793132201833</v>
      </c>
      <c r="F10" s="73">
        <v>0.87265864939443138</v>
      </c>
      <c r="G10" s="73">
        <v>1.1173587870321955</v>
      </c>
      <c r="H10" s="73">
        <v>1.299559195354675</v>
      </c>
      <c r="I10" s="73">
        <v>1.3560276361154333</v>
      </c>
      <c r="J10" s="73">
        <v>1.303759933407229</v>
      </c>
      <c r="K10" s="73">
        <v>1.0660623732654162</v>
      </c>
      <c r="L10" s="73">
        <v>1.2864493932187056</v>
      </c>
      <c r="M10" s="73">
        <v>1.408781560755076</v>
      </c>
      <c r="N10" s="73">
        <v>1.4218232225253571</v>
      </c>
      <c r="O10" s="73">
        <v>1.4112834093512259</v>
      </c>
      <c r="P10" s="73">
        <v>1.3209841432171896</v>
      </c>
      <c r="Q10" s="73">
        <v>1.2558153904255278</v>
      </c>
      <c r="R10" s="73">
        <v>0</v>
      </c>
      <c r="S10" s="73">
        <v>0.15306722595662867</v>
      </c>
      <c r="T10" s="73">
        <v>0.45473848391728566</v>
      </c>
      <c r="U10" s="73">
        <v>0.90260316408055696</v>
      </c>
      <c r="V10" s="73">
        <v>0.99255855235215629</v>
      </c>
    </row>
    <row r="11" spans="1:22" x14ac:dyDescent="0.2">
      <c r="A11" s="7" t="s">
        <v>74</v>
      </c>
      <c r="B11" s="73">
        <v>1.1756254150018635</v>
      </c>
      <c r="C11" s="73">
        <v>0.75738210791044724</v>
      </c>
      <c r="D11" s="73">
        <v>1.1711280849232513</v>
      </c>
      <c r="E11" s="73">
        <v>0.77176477380679709</v>
      </c>
      <c r="F11" s="73">
        <v>1.127225343879229</v>
      </c>
      <c r="G11" s="73">
        <v>1.1881635578609351</v>
      </c>
      <c r="H11" s="73">
        <v>1.2084459086035044</v>
      </c>
      <c r="I11" s="73">
        <v>1.4404206659138226</v>
      </c>
      <c r="J11" s="73">
        <v>1.1908399150220517</v>
      </c>
      <c r="K11" s="73">
        <v>0.95537670125875396</v>
      </c>
      <c r="L11" s="73">
        <v>1.4238626526627018</v>
      </c>
      <c r="M11" s="73">
        <v>1.3882518328260562</v>
      </c>
      <c r="N11" s="73">
        <v>1.4410409456816486</v>
      </c>
      <c r="O11" s="73">
        <v>1.4221089284201707</v>
      </c>
      <c r="P11" s="73">
        <v>1.1932640579971079</v>
      </c>
      <c r="Q11" s="73">
        <v>1.5061752592317419</v>
      </c>
      <c r="R11" s="73">
        <v>0</v>
      </c>
      <c r="S11" s="73">
        <v>0.28737869314307873</v>
      </c>
      <c r="T11" s="73">
        <v>0.85529628899491505</v>
      </c>
      <c r="U11" s="73">
        <v>0.94470925667845307</v>
      </c>
      <c r="V11" s="73">
        <v>0.93696924392340442</v>
      </c>
    </row>
    <row r="12" spans="1:22" x14ac:dyDescent="0.2">
      <c r="A12" s="7" t="s">
        <v>5</v>
      </c>
      <c r="B12" s="73">
        <v>0</v>
      </c>
      <c r="C12" s="73">
        <v>0</v>
      </c>
      <c r="D12" s="73">
        <v>0</v>
      </c>
      <c r="E12" s="73">
        <v>0</v>
      </c>
      <c r="F12" s="73">
        <v>0</v>
      </c>
      <c r="G12" s="73">
        <v>0</v>
      </c>
      <c r="H12" s="73">
        <v>0</v>
      </c>
      <c r="I12" s="73">
        <v>0</v>
      </c>
      <c r="J12" s="73">
        <v>0</v>
      </c>
      <c r="K12" s="73">
        <v>0</v>
      </c>
      <c r="L12" s="73">
        <v>0</v>
      </c>
      <c r="M12" s="73">
        <v>0</v>
      </c>
      <c r="N12" s="73">
        <v>0</v>
      </c>
      <c r="O12" s="73">
        <v>0</v>
      </c>
      <c r="P12" s="73">
        <v>0</v>
      </c>
      <c r="Q12" s="73">
        <v>0</v>
      </c>
      <c r="R12" s="73">
        <v>0</v>
      </c>
      <c r="S12" s="73">
        <v>0</v>
      </c>
      <c r="T12" s="73">
        <v>0</v>
      </c>
      <c r="U12" s="73">
        <v>0</v>
      </c>
      <c r="V12" s="73">
        <v>0</v>
      </c>
    </row>
    <row r="13" spans="1:22" x14ac:dyDescent="0.2">
      <c r="A13" s="7" t="s">
        <v>77</v>
      </c>
      <c r="B13" s="73">
        <v>1.6337168583745427</v>
      </c>
      <c r="C13" s="73">
        <v>1.4418139780386037</v>
      </c>
      <c r="D13" s="73">
        <v>1.5341900456064859</v>
      </c>
      <c r="E13" s="73">
        <v>1.5408350227891299</v>
      </c>
      <c r="F13" s="73">
        <v>1.6201658218799639</v>
      </c>
      <c r="G13" s="73">
        <v>1.7102656226735435</v>
      </c>
      <c r="H13" s="73">
        <v>1.6979584693777463</v>
      </c>
      <c r="I13" s="73">
        <v>1.8433918580109137</v>
      </c>
      <c r="J13" s="73">
        <v>1.6837340513138239</v>
      </c>
      <c r="K13" s="73">
        <v>1.5685025223639726</v>
      </c>
      <c r="L13" s="73">
        <v>1.6611379181623613</v>
      </c>
      <c r="M13" s="73">
        <v>1.5436223602326686</v>
      </c>
      <c r="N13" s="73">
        <v>1.6390313332011406</v>
      </c>
      <c r="O13" s="73">
        <v>1.5316313403988222</v>
      </c>
      <c r="P13" s="73">
        <v>1.3448478007907569</v>
      </c>
      <c r="Q13" s="73">
        <v>1.5658790733055634</v>
      </c>
      <c r="R13" s="73">
        <v>0</v>
      </c>
      <c r="S13" s="73">
        <v>9.8095754567528712E-2</v>
      </c>
      <c r="T13" s="73">
        <v>0.54072723398039546</v>
      </c>
      <c r="U13" s="73">
        <v>0.89925962672259219</v>
      </c>
      <c r="V13" s="73">
        <v>0.61112796842617045</v>
      </c>
    </row>
    <row r="14" spans="1:22" x14ac:dyDescent="0.2">
      <c r="A14" s="7" t="s">
        <v>78</v>
      </c>
      <c r="B14" s="73">
        <v>1.3908267192333366</v>
      </c>
      <c r="C14" s="73">
        <v>1.0251637126934618</v>
      </c>
      <c r="D14" s="73">
        <v>1.2416236751467131</v>
      </c>
      <c r="E14" s="73">
        <v>1.0250424987804698</v>
      </c>
      <c r="F14" s="73">
        <v>1.535409737517677</v>
      </c>
      <c r="G14" s="73">
        <v>1.5237756655678576</v>
      </c>
      <c r="H14" s="73">
        <v>1.6283057481345704</v>
      </c>
      <c r="I14" s="73">
        <v>1.7694002210757818</v>
      </c>
      <c r="J14" s="73">
        <v>1.6435031477840685</v>
      </c>
      <c r="K14" s="73">
        <v>1.2827138776790656</v>
      </c>
      <c r="L14" s="73">
        <v>1.5493956550232326</v>
      </c>
      <c r="M14" s="73">
        <v>1.597844429005274</v>
      </c>
      <c r="N14" s="73">
        <v>1.6071039893831065</v>
      </c>
      <c r="O14" s="73">
        <v>1.5512623164340116</v>
      </c>
      <c r="P14" s="73">
        <v>1.4253921795674076</v>
      </c>
      <c r="Q14" s="73">
        <v>1.5099287005967075</v>
      </c>
      <c r="R14" s="73">
        <v>8.6910211368813856E-2</v>
      </c>
      <c r="S14" s="73">
        <v>0.21124283679975561</v>
      </c>
      <c r="T14" s="73">
        <v>0.47308262748402291</v>
      </c>
      <c r="U14" s="73">
        <v>0.80510593077667236</v>
      </c>
      <c r="V14" s="73">
        <v>0.63065250204897505</v>
      </c>
    </row>
    <row r="15" spans="1:22" x14ac:dyDescent="0.2">
      <c r="A15" s="7" t="s">
        <v>2</v>
      </c>
      <c r="B15" s="73">
        <v>3.7100840293698791</v>
      </c>
      <c r="C15" s="73">
        <v>3.0544249204543981</v>
      </c>
      <c r="D15" s="73">
        <v>3.3456303830252465</v>
      </c>
      <c r="E15" s="73">
        <v>2.9885873900832332</v>
      </c>
      <c r="F15" s="73">
        <v>3.2411977180148122</v>
      </c>
      <c r="G15" s="73">
        <v>3.5208904686484281</v>
      </c>
      <c r="H15" s="73">
        <v>3.5903853658844027</v>
      </c>
      <c r="I15" s="73">
        <v>3.6667944637913874</v>
      </c>
      <c r="J15" s="73">
        <v>3.5280768724916003</v>
      </c>
      <c r="K15" s="73">
        <v>3.1834016341952314</v>
      </c>
      <c r="L15" s="73">
        <v>3.3658915349757175</v>
      </c>
      <c r="M15" s="73">
        <v>3.0981509997161822</v>
      </c>
      <c r="N15" s="73">
        <v>3.1108157521365434</v>
      </c>
      <c r="O15" s="73">
        <v>3.0427301866204148</v>
      </c>
      <c r="P15" s="73">
        <v>2.8109705706513726</v>
      </c>
      <c r="Q15" s="73">
        <v>3.0850487950534657</v>
      </c>
      <c r="R15" s="73">
        <v>0.32639302813626675</v>
      </c>
      <c r="S15" s="73">
        <v>0.70824008008569261</v>
      </c>
      <c r="T15" s="73">
        <v>1.6936402706836788</v>
      </c>
      <c r="U15" s="73">
        <v>2.2045872549686059</v>
      </c>
      <c r="V15" s="73">
        <v>2.066041143752086</v>
      </c>
    </row>
    <row r="16" spans="1:22" x14ac:dyDescent="0.2">
      <c r="A16" s="7" t="s">
        <v>75</v>
      </c>
      <c r="B16" s="73">
        <v>1.465107618224593</v>
      </c>
      <c r="C16" s="73">
        <v>1.1222519472581156</v>
      </c>
      <c r="D16" s="73">
        <v>1.1451667896431248</v>
      </c>
      <c r="E16" s="73">
        <v>1.0590384163537294</v>
      </c>
      <c r="F16" s="73">
        <v>1.150481669244952</v>
      </c>
      <c r="G16" s="73">
        <v>1.2253522495269873</v>
      </c>
      <c r="H16" s="73">
        <v>1.5371982684757652</v>
      </c>
      <c r="I16" s="73">
        <v>1.6526708072339602</v>
      </c>
      <c r="J16" s="73">
        <v>1.3862775938856067</v>
      </c>
      <c r="K16" s="73">
        <v>1.3775755127470546</v>
      </c>
      <c r="L16" s="73">
        <v>1.47077154821374</v>
      </c>
      <c r="M16" s="73">
        <v>1.4497337407554189</v>
      </c>
      <c r="N16" s="73">
        <v>1.3331717856476168</v>
      </c>
      <c r="O16" s="73">
        <v>1.2661040763604308</v>
      </c>
      <c r="P16" s="73">
        <v>1.171013928629685</v>
      </c>
      <c r="Q16" s="73">
        <v>1.1821389306171337</v>
      </c>
      <c r="R16" s="73">
        <v>0</v>
      </c>
      <c r="S16" s="73">
        <v>0.14615256422109382</v>
      </c>
      <c r="T16" s="73">
        <v>0.47467313092959013</v>
      </c>
      <c r="U16" s="73">
        <v>0.84575631110668803</v>
      </c>
      <c r="V16" s="73">
        <v>0.81179390362610759</v>
      </c>
    </row>
    <row r="17" spans="1:22" x14ac:dyDescent="0.2">
      <c r="A17" s="7" t="s">
        <v>79</v>
      </c>
      <c r="B17" s="73">
        <v>1.2411352759128949</v>
      </c>
      <c r="C17" s="73">
        <v>0.85769577075826986</v>
      </c>
      <c r="D17" s="73">
        <v>0.92955481947417906</v>
      </c>
      <c r="E17" s="73">
        <v>0.79390335369988374</v>
      </c>
      <c r="F17" s="73">
        <v>0.90268824530467273</v>
      </c>
      <c r="G17" s="73">
        <v>1.1769924466773531</v>
      </c>
      <c r="H17" s="73">
        <v>1.2936072450455878</v>
      </c>
      <c r="I17" s="73">
        <v>1.3072562742223766</v>
      </c>
      <c r="J17" s="73">
        <v>1.1060979587379274</v>
      </c>
      <c r="K17" s="73">
        <v>0.9882264606582184</v>
      </c>
      <c r="L17" s="73">
        <v>1.1004959556661749</v>
      </c>
      <c r="M17" s="73">
        <v>0.99809680314453619</v>
      </c>
      <c r="N17" s="73">
        <v>0.95416869946000471</v>
      </c>
      <c r="O17" s="73">
        <v>0.91921653619792598</v>
      </c>
      <c r="P17" s="73">
        <v>0.80808302902869389</v>
      </c>
      <c r="Q17" s="73">
        <v>0.89848066689988093</v>
      </c>
      <c r="R17" s="73">
        <v>0.10425114809953334</v>
      </c>
      <c r="S17" s="73">
        <v>0.16469052959458147</v>
      </c>
      <c r="T17" s="73">
        <v>0.51695920797456663</v>
      </c>
      <c r="U17" s="73">
        <v>0.60317697446141849</v>
      </c>
      <c r="V17" s="73">
        <v>0.67637049698131202</v>
      </c>
    </row>
    <row r="18" spans="1:22" x14ac:dyDescent="0.2">
      <c r="A18" s="7" t="s">
        <v>80</v>
      </c>
      <c r="B18" s="73">
        <v>1.5040953001770299</v>
      </c>
      <c r="C18" s="73">
        <v>1.2066045615646903</v>
      </c>
      <c r="D18" s="73">
        <v>1.3200972265249784</v>
      </c>
      <c r="E18" s="73">
        <v>1.3323099106143768</v>
      </c>
      <c r="F18" s="73">
        <v>1.3521042103559271</v>
      </c>
      <c r="G18" s="73">
        <v>1.5006431310601551</v>
      </c>
      <c r="H18" s="73">
        <v>1.5621154067240202</v>
      </c>
      <c r="I18" s="73">
        <v>1.5682014946093596</v>
      </c>
      <c r="J18" s="73">
        <v>1.3820032856018512</v>
      </c>
      <c r="K18" s="73">
        <v>1.3817836878740561</v>
      </c>
      <c r="L18" s="73">
        <v>1.4549248193484787</v>
      </c>
      <c r="M18" s="73">
        <v>1.4920440514025963</v>
      </c>
      <c r="N18" s="73">
        <v>1.5174739274848614</v>
      </c>
      <c r="O18" s="73">
        <v>1.3685445197082811</v>
      </c>
      <c r="P18" s="73">
        <v>1.2038878801898414</v>
      </c>
      <c r="Q18" s="73">
        <v>1.2959229443217259</v>
      </c>
      <c r="R18" s="73">
        <v>0.15961130382173846</v>
      </c>
      <c r="S18" s="73">
        <v>0.34518548791941894</v>
      </c>
      <c r="T18" s="73">
        <v>0.79697197857552748</v>
      </c>
      <c r="U18" s="73">
        <v>0.9464297985096547</v>
      </c>
      <c r="V18" s="73">
        <v>0.92864812260342866</v>
      </c>
    </row>
    <row r="19" spans="1:22" x14ac:dyDescent="0.2">
      <c r="A19" s="7" t="s">
        <v>3</v>
      </c>
      <c r="B19" s="73">
        <v>1.4527687069841746</v>
      </c>
      <c r="C19" s="73">
        <v>1.032294665658555</v>
      </c>
      <c r="D19" s="73">
        <v>1.3265341030466147</v>
      </c>
      <c r="E19" s="73">
        <v>1.012592898115297</v>
      </c>
      <c r="F19" s="73">
        <v>1.2010517364178965</v>
      </c>
      <c r="G19" s="73">
        <v>1.2722385737293791</v>
      </c>
      <c r="H19" s="73">
        <v>1.5793857316856181</v>
      </c>
      <c r="I19" s="73">
        <v>1.7447085610803992</v>
      </c>
      <c r="J19" s="73">
        <v>1.3939338939127357</v>
      </c>
      <c r="K19" s="73">
        <v>1.1781362306855787</v>
      </c>
      <c r="L19" s="73">
        <v>1.620670299063486</v>
      </c>
      <c r="M19" s="73">
        <v>1.5718376403254168</v>
      </c>
      <c r="N19" s="73">
        <v>1.4321643011221954</v>
      </c>
      <c r="O19" s="73">
        <v>1.5152776836001209</v>
      </c>
      <c r="P19" s="73">
        <v>1.2054006198560943</v>
      </c>
      <c r="Q19" s="73">
        <v>1.2526759908495007</v>
      </c>
      <c r="R19" s="73">
        <v>0</v>
      </c>
      <c r="S19" s="73">
        <v>0.25244019265604617</v>
      </c>
      <c r="T19" s="73">
        <v>0.70105479542148741</v>
      </c>
      <c r="U19" s="73">
        <v>0.8317155452954309</v>
      </c>
      <c r="V19" s="73">
        <v>1.0502805871043626</v>
      </c>
    </row>
    <row r="20" spans="1:22" x14ac:dyDescent="0.2">
      <c r="A20" s="7" t="s">
        <v>4</v>
      </c>
      <c r="B20" s="73">
        <v>2.0881930507190516</v>
      </c>
      <c r="C20" s="73">
        <v>1.6396529284500256</v>
      </c>
      <c r="D20" s="73">
        <v>1.6642644791278913</v>
      </c>
      <c r="E20" s="73">
        <v>1.5855605123584422</v>
      </c>
      <c r="F20" s="73">
        <v>1.6816416359073016</v>
      </c>
      <c r="G20" s="73">
        <v>1.8909964642675328</v>
      </c>
      <c r="H20" s="73">
        <v>2.125349002345172</v>
      </c>
      <c r="I20" s="73">
        <v>2.1688889172355652</v>
      </c>
      <c r="J20" s="73">
        <v>2.062412616538662</v>
      </c>
      <c r="K20" s="73">
        <v>1.9544716946197107</v>
      </c>
      <c r="L20" s="73">
        <v>2.0555850618685536</v>
      </c>
      <c r="M20" s="73">
        <v>1.958993118328948</v>
      </c>
      <c r="N20" s="73">
        <v>2.0173470062237704</v>
      </c>
      <c r="O20" s="73">
        <v>1.9557397574117217</v>
      </c>
      <c r="P20" s="73">
        <v>1.9420508253328062</v>
      </c>
      <c r="Q20" s="73">
        <v>2.0354535745223168</v>
      </c>
      <c r="R20" s="73">
        <v>0.19110620455915056</v>
      </c>
      <c r="S20" s="73">
        <v>0.56692708242736711</v>
      </c>
      <c r="T20" s="73">
        <v>1.3278490245715433</v>
      </c>
      <c r="U20" s="73">
        <v>1.6359712750244779</v>
      </c>
      <c r="V20" s="73">
        <v>1.6115531904119687</v>
      </c>
    </row>
    <row r="21" spans="1:22" s="48" customFormat="1" x14ac:dyDescent="0.2">
      <c r="A21" s="49" t="s">
        <v>0</v>
      </c>
      <c r="B21" s="79">
        <v>1.9052869245412949</v>
      </c>
      <c r="C21" s="79">
        <v>1.4779839484984725</v>
      </c>
      <c r="D21" s="79">
        <v>1.6328261799057631</v>
      </c>
      <c r="E21" s="79">
        <v>1.4542507638181104</v>
      </c>
      <c r="F21" s="79">
        <v>1.645866798806142</v>
      </c>
      <c r="G21" s="79">
        <v>1.8150482634457992</v>
      </c>
      <c r="H21" s="79">
        <v>1.9352944819986222</v>
      </c>
      <c r="I21" s="79">
        <v>2.0124563567777529</v>
      </c>
      <c r="J21" s="79">
        <v>1.8278852154651655</v>
      </c>
      <c r="K21" s="79">
        <v>1.6699076017896908</v>
      </c>
      <c r="L21" s="79">
        <v>1.8613884883333074</v>
      </c>
      <c r="M21" s="79">
        <v>1.7877806279707769</v>
      </c>
      <c r="N21" s="79">
        <v>1.798251490228294</v>
      </c>
      <c r="O21" s="79">
        <v>1.726613858462855</v>
      </c>
      <c r="P21" s="79">
        <v>1.5810675372787981</v>
      </c>
      <c r="Q21" s="79">
        <v>1.7097769641008593</v>
      </c>
      <c r="R21" s="79">
        <v>0.12433184006840493</v>
      </c>
      <c r="S21" s="79">
        <v>0.32587149751023919</v>
      </c>
      <c r="T21" s="79">
        <v>0.8611067672094328</v>
      </c>
      <c r="U21" s="79">
        <v>1.1826085541446003</v>
      </c>
      <c r="V21" s="79">
        <v>1.115607946655379</v>
      </c>
    </row>
  </sheetData>
  <phoneticPr fontId="21" type="noConversion"/>
  <hyperlinks>
    <hyperlink ref="A2" location="Sommaire!A1" display="Retour au menu &quot;Exploitation des films&quot;" xr:uid="{00000000-0004-0000-2F00-000000000000}"/>
  </hyperlinks>
  <pageMargins left="0.78740157499999996" right="0.78740157499999996" top="0.984251969" bottom="0.984251969" header="0.4921259845" footer="0.4921259845"/>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V21"/>
  <sheetViews>
    <sheetView workbookViewId="0"/>
  </sheetViews>
  <sheetFormatPr baseColWidth="10" defaultColWidth="5.5703125" defaultRowHeight="12" x14ac:dyDescent="0.2"/>
  <cols>
    <col min="1" max="1" width="29.85546875" style="46" customWidth="1"/>
    <col min="2" max="2" width="5" style="46" bestFit="1" customWidth="1"/>
    <col min="3" max="16" width="5" style="47" bestFit="1" customWidth="1"/>
    <col min="17" max="17" width="5" style="46" bestFit="1" customWidth="1"/>
    <col min="18" max="18" width="5.5703125" style="46"/>
    <col min="19" max="19" width="6.140625" style="46" bestFit="1" customWidth="1"/>
    <col min="20" max="20" width="6.140625" style="46" customWidth="1"/>
    <col min="21" max="16384" width="5.5703125" style="46"/>
  </cols>
  <sheetData>
    <row r="1" spans="1:22" s="36" customFormat="1" ht="12.75" x14ac:dyDescent="0.2">
      <c r="B1" s="37"/>
      <c r="C1" s="37"/>
      <c r="D1" s="37"/>
      <c r="E1" s="37"/>
      <c r="F1" s="37"/>
      <c r="G1" s="37"/>
      <c r="H1" s="37"/>
      <c r="I1" s="37"/>
      <c r="J1" s="37"/>
      <c r="K1" s="37"/>
      <c r="L1" s="37"/>
      <c r="M1" s="37"/>
      <c r="N1" s="37"/>
      <c r="O1" s="37"/>
      <c r="P1" s="37"/>
      <c r="Q1" s="37"/>
      <c r="R1" s="37"/>
      <c r="S1" s="37"/>
      <c r="T1" s="37"/>
      <c r="U1" s="37"/>
      <c r="V1" s="37"/>
    </row>
    <row r="2" spans="1:22" s="40" customFormat="1" ht="12.75" x14ac:dyDescent="0.2">
      <c r="A2" s="38" t="s">
        <v>32</v>
      </c>
      <c r="B2" s="39"/>
      <c r="C2" s="39"/>
      <c r="D2" s="39"/>
      <c r="E2" s="39"/>
      <c r="F2" s="39"/>
      <c r="G2" s="39"/>
      <c r="H2" s="39"/>
      <c r="I2" s="39"/>
      <c r="J2" s="39"/>
      <c r="K2" s="39"/>
      <c r="L2" s="39"/>
      <c r="M2" s="39"/>
      <c r="N2" s="39"/>
      <c r="O2" s="39"/>
      <c r="P2" s="39"/>
      <c r="Q2" s="39"/>
      <c r="R2" s="39"/>
      <c r="S2" s="39"/>
      <c r="T2" s="39"/>
      <c r="U2" s="39"/>
      <c r="V2" s="39"/>
    </row>
    <row r="3" spans="1:22" s="36" customFormat="1" ht="12.75" x14ac:dyDescent="0.2">
      <c r="B3" s="37"/>
      <c r="C3" s="37"/>
      <c r="D3" s="37"/>
      <c r="E3" s="37"/>
      <c r="F3" s="37"/>
      <c r="G3" s="37"/>
      <c r="H3" s="37"/>
      <c r="I3" s="37"/>
      <c r="J3" s="37"/>
      <c r="K3" s="37"/>
      <c r="L3" s="37"/>
      <c r="M3" s="37"/>
      <c r="N3" s="37"/>
      <c r="O3" s="37"/>
      <c r="P3" s="37"/>
      <c r="Q3" s="37"/>
      <c r="R3" s="37"/>
      <c r="S3" s="37"/>
      <c r="T3" s="37"/>
      <c r="U3" s="37"/>
      <c r="V3" s="37"/>
    </row>
    <row r="4" spans="1:22" s="36" customFormat="1" ht="12.75" x14ac:dyDescent="0.2">
      <c r="B4" s="37"/>
      <c r="C4" s="37"/>
      <c r="D4" s="37"/>
      <c r="E4" s="37"/>
      <c r="F4" s="37"/>
      <c r="G4" s="37"/>
      <c r="H4" s="37"/>
      <c r="I4" s="37"/>
      <c r="J4" s="37"/>
      <c r="K4" s="37"/>
      <c r="L4" s="37"/>
      <c r="M4" s="37"/>
      <c r="N4" s="37"/>
      <c r="O4" s="37"/>
      <c r="P4" s="37"/>
      <c r="Q4" s="37"/>
      <c r="R4" s="37"/>
      <c r="S4" s="37"/>
      <c r="T4" s="37"/>
      <c r="U4" s="37"/>
      <c r="V4" s="37"/>
    </row>
    <row r="5" spans="1:22" ht="12.75" x14ac:dyDescent="0.2">
      <c r="A5" s="45" t="s">
        <v>103</v>
      </c>
    </row>
    <row r="6" spans="1:22" ht="3" customHeight="1" x14ac:dyDescent="0.2"/>
    <row r="7" spans="1:22" s="48" customFormat="1" x14ac:dyDescent="0.2">
      <c r="A7" s="5"/>
      <c r="B7" s="12" t="s">
        <v>37</v>
      </c>
      <c r="C7" s="12" t="s">
        <v>38</v>
      </c>
      <c r="D7" s="12" t="s">
        <v>39</v>
      </c>
      <c r="E7" s="12" t="s">
        <v>40</v>
      </c>
      <c r="F7" s="12" t="s">
        <v>41</v>
      </c>
      <c r="G7" s="12" t="s">
        <v>42</v>
      </c>
      <c r="H7" s="12" t="s">
        <v>43</v>
      </c>
      <c r="I7" s="12" t="s">
        <v>44</v>
      </c>
      <c r="J7" s="12" t="s">
        <v>45</v>
      </c>
      <c r="K7" s="12" t="s">
        <v>54</v>
      </c>
      <c r="L7" s="12" t="s">
        <v>55</v>
      </c>
      <c r="M7" s="12" t="s">
        <v>76</v>
      </c>
      <c r="N7" s="12" t="s">
        <v>81</v>
      </c>
      <c r="O7" s="12" t="s">
        <v>82</v>
      </c>
      <c r="P7" s="12" t="s">
        <v>113</v>
      </c>
      <c r="Q7" s="12" t="s">
        <v>114</v>
      </c>
      <c r="R7" s="12" t="s">
        <v>115</v>
      </c>
      <c r="S7" s="12" t="s">
        <v>116</v>
      </c>
      <c r="T7" s="12" t="s">
        <v>117</v>
      </c>
      <c r="U7" s="12" t="s">
        <v>118</v>
      </c>
      <c r="V7" s="12" t="s">
        <v>119</v>
      </c>
    </row>
    <row r="8" spans="1:22" x14ac:dyDescent="0.2">
      <c r="A8" s="7" t="s">
        <v>72</v>
      </c>
      <c r="B8" s="75">
        <v>19.028027284458748</v>
      </c>
      <c r="C8" s="75">
        <v>17.720693766168289</v>
      </c>
      <c r="D8" s="75">
        <v>17.78415558890395</v>
      </c>
      <c r="E8" s="75">
        <v>17.061225940864968</v>
      </c>
      <c r="F8" s="75">
        <v>17.016427212787853</v>
      </c>
      <c r="G8" s="75">
        <v>17.366615592461407</v>
      </c>
      <c r="H8" s="75">
        <v>18.351480140956483</v>
      </c>
      <c r="I8" s="75">
        <v>17.565411437957</v>
      </c>
      <c r="J8" s="75">
        <v>15.850414094154214</v>
      </c>
      <c r="K8" s="75">
        <v>14.97374574992233</v>
      </c>
      <c r="L8" s="75">
        <v>14.778266391932107</v>
      </c>
      <c r="M8" s="75">
        <v>13.82004328338167</v>
      </c>
      <c r="N8" s="75">
        <v>14.175629121237248</v>
      </c>
      <c r="O8" s="75">
        <v>13.036164767753068</v>
      </c>
      <c r="P8" s="75">
        <v>12.061387593567828</v>
      </c>
      <c r="Q8" s="75">
        <v>12.798360508386933</v>
      </c>
      <c r="R8" s="75">
        <v>8.8209139211121084</v>
      </c>
      <c r="S8" s="75">
        <v>11.57726161074722</v>
      </c>
      <c r="T8" s="75">
        <v>10.169978644277293</v>
      </c>
      <c r="U8" s="75">
        <v>12.047567989633261</v>
      </c>
      <c r="V8" s="75">
        <v>11.584970745938618</v>
      </c>
    </row>
    <row r="9" spans="1:22" x14ac:dyDescent="0.2">
      <c r="A9" s="7" t="s">
        <v>73</v>
      </c>
      <c r="B9" s="75">
        <v>14.660588005427163</v>
      </c>
      <c r="C9" s="75">
        <v>12.471033281693339</v>
      </c>
      <c r="D9" s="75">
        <v>12.925422175661316</v>
      </c>
      <c r="E9" s="75">
        <v>19.389261752773599</v>
      </c>
      <c r="F9" s="75">
        <v>12.290806665828086</v>
      </c>
      <c r="G9" s="75">
        <v>13.250136201271223</v>
      </c>
      <c r="H9" s="75">
        <v>14.259573181807445</v>
      </c>
      <c r="I9" s="75">
        <v>14.263449525526367</v>
      </c>
      <c r="J9" s="75">
        <v>12.711910506005369</v>
      </c>
      <c r="K9" s="75">
        <v>11.628600549263027</v>
      </c>
      <c r="L9" s="75">
        <v>13.11389499547769</v>
      </c>
      <c r="M9" s="75">
        <v>13.568370972136638</v>
      </c>
      <c r="N9" s="75">
        <v>13.066723260954664</v>
      </c>
      <c r="O9" s="75">
        <v>12.562079037858039</v>
      </c>
      <c r="P9" s="75">
        <v>12.455302078684451</v>
      </c>
      <c r="Q9" s="75">
        <v>13.768274553625901</v>
      </c>
      <c r="R9" s="75">
        <v>0</v>
      </c>
      <c r="S9" s="75">
        <v>0</v>
      </c>
      <c r="T9" s="75">
        <v>12.859264181449195</v>
      </c>
      <c r="U9" s="75">
        <v>12.059017548680568</v>
      </c>
      <c r="V9" s="75">
        <v>11.812020709749717</v>
      </c>
    </row>
    <row r="10" spans="1:22" x14ac:dyDescent="0.2">
      <c r="A10" s="7" t="s">
        <v>1</v>
      </c>
      <c r="B10" s="75">
        <v>16.252899421913646</v>
      </c>
      <c r="C10" s="75">
        <v>12.923947876445713</v>
      </c>
      <c r="D10" s="75">
        <v>14.855742997019847</v>
      </c>
      <c r="E10" s="75">
        <v>14.278000080933149</v>
      </c>
      <c r="F10" s="75">
        <v>14.451314317440728</v>
      </c>
      <c r="G10" s="75">
        <v>16.361721193011782</v>
      </c>
      <c r="H10" s="75">
        <v>16.808411926557749</v>
      </c>
      <c r="I10" s="75">
        <v>16.993639825428424</v>
      </c>
      <c r="J10" s="75">
        <v>16.367587106816092</v>
      </c>
      <c r="K10" s="75">
        <v>15.177096211085997</v>
      </c>
      <c r="L10" s="75">
        <v>16.307315934818448</v>
      </c>
      <c r="M10" s="75">
        <v>15.9331747187685</v>
      </c>
      <c r="N10" s="75">
        <v>15.867333264206673</v>
      </c>
      <c r="O10" s="75">
        <v>15.788104826245361</v>
      </c>
      <c r="P10" s="75">
        <v>14.555468267989985</v>
      </c>
      <c r="Q10" s="75">
        <v>15.53553138804628</v>
      </c>
      <c r="R10" s="75">
        <v>0</v>
      </c>
      <c r="S10" s="75">
        <v>17.24994704353233</v>
      </c>
      <c r="T10" s="75">
        <v>13.256928230004181</v>
      </c>
      <c r="U10" s="75">
        <v>14.360703344450462</v>
      </c>
      <c r="V10" s="75">
        <v>13.473785258262453</v>
      </c>
    </row>
    <row r="11" spans="1:22" x14ac:dyDescent="0.2">
      <c r="A11" s="7" t="s">
        <v>74</v>
      </c>
      <c r="B11" s="75">
        <v>13.624046373782845</v>
      </c>
      <c r="C11" s="75">
        <v>15.879092444006371</v>
      </c>
      <c r="D11" s="75">
        <v>13.158126521256474</v>
      </c>
      <c r="E11" s="75">
        <v>14.31137928268034</v>
      </c>
      <c r="F11" s="75">
        <v>12.523087433798159</v>
      </c>
      <c r="G11" s="75">
        <v>13.214883668822244</v>
      </c>
      <c r="H11" s="75">
        <v>13.438416104882281</v>
      </c>
      <c r="I11" s="75">
        <v>14.464760407016977</v>
      </c>
      <c r="J11" s="75">
        <v>13.240731536067463</v>
      </c>
      <c r="K11" s="75">
        <v>13.757475209166929</v>
      </c>
      <c r="L11" s="75">
        <v>14.078710445093828</v>
      </c>
      <c r="M11" s="75">
        <v>13.928145507116344</v>
      </c>
      <c r="N11" s="75">
        <v>14.358688501831887</v>
      </c>
      <c r="O11" s="75">
        <v>14.245507064534324</v>
      </c>
      <c r="P11" s="75">
        <v>14.330781456000199</v>
      </c>
      <c r="Q11" s="75">
        <v>13.054254859335346</v>
      </c>
      <c r="R11" s="75">
        <v>0</v>
      </c>
      <c r="S11" s="75">
        <v>9.4765434640988282</v>
      </c>
      <c r="T11" s="75">
        <v>10.375233695996497</v>
      </c>
      <c r="U11" s="75">
        <v>12.392272896272761</v>
      </c>
      <c r="V11" s="75">
        <v>12.052713222837477</v>
      </c>
    </row>
    <row r="12" spans="1:22" x14ac:dyDescent="0.2">
      <c r="A12" s="7" t="s">
        <v>5</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row>
    <row r="13" spans="1:22" x14ac:dyDescent="0.2">
      <c r="A13" s="7" t="s">
        <v>77</v>
      </c>
      <c r="B13" s="75">
        <v>16.496646015173681</v>
      </c>
      <c r="C13" s="75">
        <v>14.860897184907421</v>
      </c>
      <c r="D13" s="75">
        <v>14.844441429845462</v>
      </c>
      <c r="E13" s="75">
        <v>13.115725343581207</v>
      </c>
      <c r="F13" s="75">
        <v>13.645251917497573</v>
      </c>
      <c r="G13" s="75">
        <v>14.900085201227078</v>
      </c>
      <c r="H13" s="75">
        <v>15.083736128686779</v>
      </c>
      <c r="I13" s="75">
        <v>15.278644421747217</v>
      </c>
      <c r="J13" s="75">
        <v>13.966754819482412</v>
      </c>
      <c r="K13" s="75">
        <v>13.100834741066302</v>
      </c>
      <c r="L13" s="75">
        <v>13.778106070855408</v>
      </c>
      <c r="M13" s="75">
        <v>13.940623628792025</v>
      </c>
      <c r="N13" s="75">
        <v>13.198275088103701</v>
      </c>
      <c r="O13" s="75">
        <v>13.201130444601139</v>
      </c>
      <c r="P13" s="75">
        <v>12.166967319244359</v>
      </c>
      <c r="Q13" s="75">
        <v>12.510622934143663</v>
      </c>
      <c r="R13" s="75">
        <v>0</v>
      </c>
      <c r="S13" s="75">
        <v>9.7901953848724403</v>
      </c>
      <c r="T13" s="75">
        <v>9.6464303438499233</v>
      </c>
      <c r="U13" s="75">
        <v>10.373426132609016</v>
      </c>
      <c r="V13" s="75">
        <v>11.309840670174957</v>
      </c>
    </row>
    <row r="14" spans="1:22" x14ac:dyDescent="0.2">
      <c r="A14" s="7" t="s">
        <v>78</v>
      </c>
      <c r="B14" s="75">
        <v>15.970756368914707</v>
      </c>
      <c r="C14" s="75">
        <v>15.274610051443863</v>
      </c>
      <c r="D14" s="75">
        <v>15.841015945580114</v>
      </c>
      <c r="E14" s="75">
        <v>15.308415779678269</v>
      </c>
      <c r="F14" s="75">
        <v>15.640077011602886</v>
      </c>
      <c r="G14" s="75">
        <v>15.375000018643323</v>
      </c>
      <c r="H14" s="75">
        <v>15.136150532056813</v>
      </c>
      <c r="I14" s="75">
        <v>15.822849208514677</v>
      </c>
      <c r="J14" s="75">
        <v>14.469722135682517</v>
      </c>
      <c r="K14" s="75">
        <v>13.883201169102547</v>
      </c>
      <c r="L14" s="75">
        <v>14.387221298713959</v>
      </c>
      <c r="M14" s="75">
        <v>13.701872003671662</v>
      </c>
      <c r="N14" s="75">
        <v>13.589358280241706</v>
      </c>
      <c r="O14" s="75">
        <v>13.309866783674821</v>
      </c>
      <c r="P14" s="75">
        <v>12.710560344423552</v>
      </c>
      <c r="Q14" s="75">
        <v>12.978800050158551</v>
      </c>
      <c r="R14" s="75">
        <v>9.8266380082313134</v>
      </c>
      <c r="S14" s="75">
        <v>13.068485091426751</v>
      </c>
      <c r="T14" s="75">
        <v>11.990676289943703</v>
      </c>
      <c r="U14" s="75">
        <v>13.057067986792632</v>
      </c>
      <c r="V14" s="75">
        <v>14.01644459649696</v>
      </c>
    </row>
    <row r="15" spans="1:22" x14ac:dyDescent="0.2">
      <c r="A15" s="7" t="s">
        <v>2</v>
      </c>
      <c r="B15" s="75">
        <v>20.840131608110571</v>
      </c>
      <c r="C15" s="75">
        <v>19.586434939438355</v>
      </c>
      <c r="D15" s="75">
        <v>19.512130671277504</v>
      </c>
      <c r="E15" s="75">
        <v>18.245964859712696</v>
      </c>
      <c r="F15" s="75">
        <v>18.578946589182081</v>
      </c>
      <c r="G15" s="75">
        <v>20.160139134564112</v>
      </c>
      <c r="H15" s="75">
        <v>19.990694970757666</v>
      </c>
      <c r="I15" s="75">
        <v>20.107581939597281</v>
      </c>
      <c r="J15" s="75">
        <v>19.249164029965986</v>
      </c>
      <c r="K15" s="75">
        <v>18.785665562330404</v>
      </c>
      <c r="L15" s="75">
        <v>18.000489908369744</v>
      </c>
      <c r="M15" s="75">
        <v>16.975439273165488</v>
      </c>
      <c r="N15" s="75">
        <v>16.626674830298345</v>
      </c>
      <c r="O15" s="75">
        <v>16.385711092631013</v>
      </c>
      <c r="P15" s="75">
        <v>15.347078603033035</v>
      </c>
      <c r="Q15" s="75">
        <v>15.740374567461728</v>
      </c>
      <c r="R15" s="75">
        <v>13.194490730026454</v>
      </c>
      <c r="S15" s="75">
        <v>15.615792433504701</v>
      </c>
      <c r="T15" s="75">
        <v>12.850469281509067</v>
      </c>
      <c r="U15" s="75">
        <v>14.761398080327215</v>
      </c>
      <c r="V15" s="75">
        <v>14.67431413609131</v>
      </c>
    </row>
    <row r="16" spans="1:22" x14ac:dyDescent="0.2">
      <c r="A16" s="7" t="s">
        <v>75</v>
      </c>
      <c r="B16" s="75">
        <v>15.658194277728294</v>
      </c>
      <c r="C16" s="75">
        <v>14.719585513356629</v>
      </c>
      <c r="D16" s="75">
        <v>16.93213244848609</v>
      </c>
      <c r="E16" s="75">
        <v>15.764908613903797</v>
      </c>
      <c r="F16" s="75">
        <v>16.753168124559696</v>
      </c>
      <c r="G16" s="75">
        <v>15.738564422756141</v>
      </c>
      <c r="H16" s="75">
        <v>15.932312170508739</v>
      </c>
      <c r="I16" s="75">
        <v>15.88595290284076</v>
      </c>
      <c r="J16" s="75">
        <v>14.736541291391807</v>
      </c>
      <c r="K16" s="75">
        <v>13.233537454538997</v>
      </c>
      <c r="L16" s="75">
        <v>14.155416446704546</v>
      </c>
      <c r="M16" s="75">
        <v>13.800249504536458</v>
      </c>
      <c r="N16" s="75">
        <v>15.304017906755837</v>
      </c>
      <c r="O16" s="75">
        <v>14.340731555941227</v>
      </c>
      <c r="P16" s="75">
        <v>13.013071800473416</v>
      </c>
      <c r="Q16" s="75">
        <v>13.212868256851751</v>
      </c>
      <c r="R16" s="75">
        <v>0</v>
      </c>
      <c r="S16" s="75">
        <v>8.4982503753231278</v>
      </c>
      <c r="T16" s="75">
        <v>11.127181553993651</v>
      </c>
      <c r="U16" s="75">
        <v>13.134657013975728</v>
      </c>
      <c r="V16" s="75">
        <v>11.987855907998755</v>
      </c>
    </row>
    <row r="17" spans="1:22" x14ac:dyDescent="0.2">
      <c r="A17" s="7" t="s">
        <v>79</v>
      </c>
      <c r="B17" s="75">
        <v>15.993628158141773</v>
      </c>
      <c r="C17" s="75">
        <v>14.991367825500518</v>
      </c>
      <c r="D17" s="75">
        <v>15.409757621158199</v>
      </c>
      <c r="E17" s="75">
        <v>14.444751565916608</v>
      </c>
      <c r="F17" s="75">
        <v>14.480082491467719</v>
      </c>
      <c r="G17" s="75">
        <v>14.736424580162421</v>
      </c>
      <c r="H17" s="75">
        <v>14.93190890705795</v>
      </c>
      <c r="I17" s="75">
        <v>14.816450357297784</v>
      </c>
      <c r="J17" s="75">
        <v>13.81948118260933</v>
      </c>
      <c r="K17" s="75">
        <v>13.328399398950728</v>
      </c>
      <c r="L17" s="75">
        <v>13.512876214888816</v>
      </c>
      <c r="M17" s="75">
        <v>13.342510389655734</v>
      </c>
      <c r="N17" s="75">
        <v>13.432378195045544</v>
      </c>
      <c r="O17" s="75">
        <v>13.008124787058561</v>
      </c>
      <c r="P17" s="75">
        <v>12.322720440410126</v>
      </c>
      <c r="Q17" s="75">
        <v>12.648917565671908</v>
      </c>
      <c r="R17" s="75">
        <v>8.6275970091594196</v>
      </c>
      <c r="S17" s="75">
        <v>9.6962652707325283</v>
      </c>
      <c r="T17" s="75">
        <v>9.325633563895579</v>
      </c>
      <c r="U17" s="75">
        <v>11.059336777279841</v>
      </c>
      <c r="V17" s="75">
        <v>10.528210290506694</v>
      </c>
    </row>
    <row r="18" spans="1:22" x14ac:dyDescent="0.2">
      <c r="A18" s="7" t="s">
        <v>80</v>
      </c>
      <c r="B18" s="75">
        <v>17.405618605345115</v>
      </c>
      <c r="C18" s="75">
        <v>16.1906381446077</v>
      </c>
      <c r="D18" s="75">
        <v>16.145573952778641</v>
      </c>
      <c r="E18" s="75">
        <v>15.749738971183536</v>
      </c>
      <c r="F18" s="75">
        <v>15.914747990510989</v>
      </c>
      <c r="G18" s="75">
        <v>17.469600878439941</v>
      </c>
      <c r="H18" s="75">
        <v>17.55783287384174</v>
      </c>
      <c r="I18" s="75">
        <v>17.183773511990594</v>
      </c>
      <c r="J18" s="75">
        <v>16.606899544275649</v>
      </c>
      <c r="K18" s="75">
        <v>16.20076169616868</v>
      </c>
      <c r="L18" s="75">
        <v>16.615457935846827</v>
      </c>
      <c r="M18" s="75">
        <v>16.951154781090636</v>
      </c>
      <c r="N18" s="75">
        <v>16.613614448503277</v>
      </c>
      <c r="O18" s="75">
        <v>16.172583205810451</v>
      </c>
      <c r="P18" s="75">
        <v>15.357887692244477</v>
      </c>
      <c r="Q18" s="75">
        <v>16.043368117992706</v>
      </c>
      <c r="R18" s="75">
        <v>12.041487077231746</v>
      </c>
      <c r="S18" s="75">
        <v>12.992366578078594</v>
      </c>
      <c r="T18" s="75">
        <v>12.013009373740029</v>
      </c>
      <c r="U18" s="75">
        <v>14.715906759656869</v>
      </c>
      <c r="V18" s="75">
        <v>14.0574774665407</v>
      </c>
    </row>
    <row r="19" spans="1:22" x14ac:dyDescent="0.2">
      <c r="A19" s="7" t="s">
        <v>3</v>
      </c>
      <c r="B19" s="75">
        <v>18.337121195632751</v>
      </c>
      <c r="C19" s="75">
        <v>16.001844753381985</v>
      </c>
      <c r="D19" s="75">
        <v>16.378164360964497</v>
      </c>
      <c r="E19" s="75">
        <v>15.376864020227407</v>
      </c>
      <c r="F19" s="75">
        <v>16.212095493925265</v>
      </c>
      <c r="G19" s="75">
        <v>17.939331790290691</v>
      </c>
      <c r="H19" s="75">
        <v>17.867469007100542</v>
      </c>
      <c r="I19" s="75">
        <v>17.6488687588195</v>
      </c>
      <c r="J19" s="75">
        <v>17.042802853939126</v>
      </c>
      <c r="K19" s="75">
        <v>15.924182614964375</v>
      </c>
      <c r="L19" s="75">
        <v>15.319307333404787</v>
      </c>
      <c r="M19" s="75">
        <v>15.538448523685645</v>
      </c>
      <c r="N19" s="75">
        <v>15.263201634599415</v>
      </c>
      <c r="O19" s="75">
        <v>15.178322921485272</v>
      </c>
      <c r="P19" s="75">
        <v>15.062602035123193</v>
      </c>
      <c r="Q19" s="75">
        <v>16.084494563671889</v>
      </c>
      <c r="R19" s="75">
        <v>0</v>
      </c>
      <c r="S19" s="75">
        <v>11.792790312393121</v>
      </c>
      <c r="T19" s="75">
        <v>13.697058205213372</v>
      </c>
      <c r="U19" s="75">
        <v>14.934726383991173</v>
      </c>
      <c r="V19" s="75">
        <v>14.546478490142043</v>
      </c>
    </row>
    <row r="20" spans="1:22" x14ac:dyDescent="0.2">
      <c r="A20" s="7" t="s">
        <v>4</v>
      </c>
      <c r="B20" s="75">
        <v>19.660059778672441</v>
      </c>
      <c r="C20" s="75">
        <v>18.24040627184111</v>
      </c>
      <c r="D20" s="75">
        <v>18.6557965423575</v>
      </c>
      <c r="E20" s="75">
        <v>18.155613257045086</v>
      </c>
      <c r="F20" s="75">
        <v>19.678246212461225</v>
      </c>
      <c r="G20" s="75">
        <v>20.791419427426348</v>
      </c>
      <c r="H20" s="75">
        <v>21.543321464775214</v>
      </c>
      <c r="I20" s="75">
        <v>20.626720238424429</v>
      </c>
      <c r="J20" s="75">
        <v>19.695796184155782</v>
      </c>
      <c r="K20" s="75">
        <v>19.196342353784491</v>
      </c>
      <c r="L20" s="75">
        <v>19.893084602386399</v>
      </c>
      <c r="M20" s="75">
        <v>18.828733504024644</v>
      </c>
      <c r="N20" s="75">
        <v>18.657204608318754</v>
      </c>
      <c r="O20" s="75">
        <v>17.983848938757021</v>
      </c>
      <c r="P20" s="75">
        <v>16.659863662592265</v>
      </c>
      <c r="Q20" s="75">
        <v>17.440488867976544</v>
      </c>
      <c r="R20" s="75">
        <v>9.4688748290763662</v>
      </c>
      <c r="S20" s="75">
        <v>14.278915265860764</v>
      </c>
      <c r="T20" s="75">
        <v>12.885890088995696</v>
      </c>
      <c r="U20" s="75">
        <v>15.198301926974821</v>
      </c>
      <c r="V20" s="75">
        <v>14.240046930396824</v>
      </c>
    </row>
    <row r="21" spans="1:22" s="48" customFormat="1" x14ac:dyDescent="0.2">
      <c r="A21" s="49" t="s">
        <v>0</v>
      </c>
      <c r="B21" s="76">
        <v>18.280047659488044</v>
      </c>
      <c r="C21" s="76">
        <v>17.091706348454682</v>
      </c>
      <c r="D21" s="76">
        <v>17.236515678600519</v>
      </c>
      <c r="E21" s="76">
        <v>16.448535652109719</v>
      </c>
      <c r="F21" s="76">
        <v>16.558320245553155</v>
      </c>
      <c r="G21" s="76">
        <v>17.52648297084643</v>
      </c>
      <c r="H21" s="76">
        <v>17.710315133816167</v>
      </c>
      <c r="I21" s="76">
        <v>17.64935724475491</v>
      </c>
      <c r="J21" s="76">
        <v>16.665260293427114</v>
      </c>
      <c r="K21" s="76">
        <v>16.015938016064151</v>
      </c>
      <c r="L21" s="76">
        <v>15.994242968953404</v>
      </c>
      <c r="M21" s="76">
        <v>15.45451893096196</v>
      </c>
      <c r="N21" s="76">
        <v>15.346594360814988</v>
      </c>
      <c r="O21" s="76">
        <v>14.948821396487624</v>
      </c>
      <c r="P21" s="76">
        <v>14.07222068053033</v>
      </c>
      <c r="Q21" s="76">
        <v>14.539392334902498</v>
      </c>
      <c r="R21" s="76">
        <v>11.118012023810882</v>
      </c>
      <c r="S21" s="76">
        <v>13.257663886977925</v>
      </c>
      <c r="T21" s="76">
        <v>11.799282759488094</v>
      </c>
      <c r="U21" s="76">
        <v>13.505667956040099</v>
      </c>
      <c r="V21" s="76">
        <v>13.314268237015789</v>
      </c>
    </row>
  </sheetData>
  <phoneticPr fontId="21" type="noConversion"/>
  <hyperlinks>
    <hyperlink ref="A2" location="Sommaire!A1" display="Retour au menu &quot;Exploitation des films&quot;" xr:uid="{00000000-0004-0000-3000-000000000000}"/>
  </hyperlink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49</vt:i4>
      </vt:variant>
    </vt:vector>
  </HeadingPairs>
  <TitlesOfParts>
    <vt:vector size="49" baseType="lpstr">
      <vt:lpstr>Sommaire</vt:lpstr>
      <vt:lpstr>Définitions</vt:lpstr>
      <vt:lpstr>Fiche</vt:lpstr>
      <vt:lpstr>établissements</vt:lpstr>
      <vt:lpstr>écrans</vt:lpstr>
      <vt:lpstr>fauteuils</vt:lpstr>
      <vt:lpstr>multiplexes</vt:lpstr>
      <vt:lpstr>séances</vt:lpstr>
      <vt:lpstr>entrées</vt:lpstr>
      <vt:lpstr>recettes</vt:lpstr>
      <vt:lpstr>RME</vt:lpstr>
      <vt:lpstr>indice de fréquentation</vt:lpstr>
      <vt:lpstr>taux d'occupation des fauteuils</vt:lpstr>
      <vt:lpstr>étabAE</vt:lpstr>
      <vt:lpstr>écransAE</vt:lpstr>
      <vt:lpstr>fauteuilsAE</vt:lpstr>
      <vt:lpstr>séances AE</vt:lpstr>
      <vt:lpstr>entréesAE</vt:lpstr>
      <vt:lpstr>recettesAE</vt:lpstr>
      <vt:lpstr>RMEAE</vt:lpstr>
      <vt:lpstr>indice de fréquentationAE</vt:lpstr>
      <vt:lpstr>tmofAE</vt:lpstr>
      <vt:lpstr>étabP</vt:lpstr>
      <vt:lpstr>écransP</vt:lpstr>
      <vt:lpstr>fauteuilsP</vt:lpstr>
      <vt:lpstr>séancesP</vt:lpstr>
      <vt:lpstr>entréesP</vt:lpstr>
      <vt:lpstr>recettesP</vt:lpstr>
      <vt:lpstr>RMEP</vt:lpstr>
      <vt:lpstr>indice de fréquentationP</vt:lpstr>
      <vt:lpstr>tmofP</vt:lpstr>
      <vt:lpstr>étabM</vt:lpstr>
      <vt:lpstr>écransM</vt:lpstr>
      <vt:lpstr>fauteuilsM</vt:lpstr>
      <vt:lpstr>séancesM</vt:lpstr>
      <vt:lpstr>entréesM</vt:lpstr>
      <vt:lpstr>recettesM</vt:lpstr>
      <vt:lpstr>RMEM</vt:lpstr>
      <vt:lpstr>indice de fréquentationM</vt:lpstr>
      <vt:lpstr>tmofM</vt:lpstr>
      <vt:lpstr>étabG</vt:lpstr>
      <vt:lpstr>écransG</vt:lpstr>
      <vt:lpstr>fauteuilsG</vt:lpstr>
      <vt:lpstr>séancesG</vt:lpstr>
      <vt:lpstr>entréesG</vt:lpstr>
      <vt:lpstr>recettesG</vt:lpstr>
      <vt:lpstr>RMEG</vt:lpstr>
      <vt:lpstr>indice de fréquentationG</vt:lpstr>
      <vt:lpstr>tmofG</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JARDILLIER</dc:creator>
  <cp:lastModifiedBy>Jardillier Sophie</cp:lastModifiedBy>
  <dcterms:created xsi:type="dcterms:W3CDTF">2012-07-19T08:01:12Z</dcterms:created>
  <dcterms:modified xsi:type="dcterms:W3CDTF">2025-09-17T16:07:19Z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1b685972a69d4ad7a60f58b3d5bca271</vt:lpwstr>
  </property>
</Properties>
</file>